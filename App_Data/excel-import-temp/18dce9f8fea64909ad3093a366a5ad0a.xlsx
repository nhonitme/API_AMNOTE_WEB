
<file path=[Content_Types].xml><?xml version="1.0" encoding="utf-8"?>
<Types xmlns="http://schemas.openxmlformats.org/package/2006/content-types">
  <Default ContentType="image/png" Extension="png"/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worksheet+xml" PartName="/xl/worksheets/sheet0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ALL"/>
    <sheet name="DETAIL" sheetId="2" r:id="rId1"/>
  </sheets>
  <calcPr fullCalcOnLoad="1"/>
</workbook>
</file>

<file path=xl/sharedStrings.xml><?xml version="1.0" encoding="utf-8"?>
<sst xmlns="http://schemas.openxmlformats.org/spreadsheetml/2006/main" count="205" uniqueCount="205">
  <si>
    <t xml:space="preserve">Công Ty TNHH NC9 Việt Nam
Số 87, Đường Nguyễn Thị Thập, Khu Đô Thị Mới Him Lam, Phường Tân Hưng, TP. Hồ Chí Minh, Việt Nam
M.S.T : 0312270160</t>
  </si>
  <si>
    <t>Chi tiết</t>
  </si>
  <si>
    <t>Mã khách hàng</t>
  </si>
  <si>
    <t>Tên khách hàng</t>
  </si>
  <si>
    <t>STT</t>
  </si>
  <si>
    <t>Trạng thái</t>
  </si>
  <si>
    <t>Số hoá đơn</t>
  </si>
  <si>
    <t>Ngày hóa đơn</t>
  </si>
  <si>
    <t>Mã sản phẩm</t>
  </si>
  <si>
    <t>Tên hàng</t>
  </si>
  <si>
    <t>Đơn vị tính</t>
  </si>
  <si>
    <t>Số lượng</t>
  </si>
  <si>
    <t>Đơn giá</t>
  </si>
  <si>
    <t>Số tiền</t>
  </si>
  <si>
    <t>Thuế GTGT(%)</t>
  </si>
  <si>
    <t>Tiền thuế GTGT</t>
  </si>
  <si>
    <t>Tỷ giá</t>
  </si>
  <si>
    <t>Thanh toán</t>
  </si>
  <si>
    <t>Ghi chú</t>
  </si>
  <si>
    <t/>
  </si>
  <si>
    <t>CÔNG TY TNHH WOOSUNG VIỆT NAM.</t>
  </si>
  <si>
    <t>Hóa đơn gốc</t>
  </si>
  <si>
    <t>237</t>
  </si>
  <si>
    <t>Phí tin nhắn từ ngày 01/04/2026 đến ngày 30/04/2026 theo Hợp đồng: DE02-2024/ WOOSUNG – NC9</t>
  </si>
  <si>
    <t xml:space="preserve">Tháng </t>
  </si>
  <si>
    <t>Không chịu thuế</t>
  </si>
  <si>
    <t>CÔNG TY TNHH SẢN XUẤT VÀ XUẤT KHẨU KVB</t>
  </si>
  <si>
    <t>238</t>
  </si>
  <si>
    <t>Phí dịch vụ phần mềm kế toán AMnote tháng 05/2026 theo Hợp đồng số: 17/2018/ NC9_KVB</t>
  </si>
  <si>
    <t>CÔNG TY TNHH LOTTE MEMBERS VIỆT NAM</t>
  </si>
  <si>
    <t>239</t>
  </si>
  <si>
    <t>Phí dịch vụ phần mềm kế toán AMnote tháng 05/2026 theo Hợp đồng số: VI06/2022/NC9 - LOTTE MEMBERS</t>
  </si>
  <si>
    <t>CÔNG TY TNHH ADAPT VIỆT NAM</t>
  </si>
  <si>
    <t>240</t>
  </si>
  <si>
    <t>Phí dịch vụ chứng từ khấu trừ thuế TNCN điện tử theo số lượng: Gói 100 chứng từ, thời gian sử dụng 1 năm theo Đơn đặt hàng số: PIT-ORD/2026/1058 - ADAPT</t>
  </si>
  <si>
    <t>Lần</t>
  </si>
  <si>
    <t>241</t>
  </si>
  <si>
    <t>Phí dịch vụ phần mềm hóa đơn điện tử ban đầu theo Đơn đặt hàng số: E-ORD/2026/1022 - ADAPT</t>
  </si>
  <si>
    <t>Phí dịch vụ phần mềm hóa đơn điện tử theo số lượng: Gói 20.000 hóa đơn theo Đơn đặt hàng số: E-ORD/2026/1022 - ADAPT</t>
  </si>
  <si>
    <t>CÔNG TY TNHH MTV SANRIMJOHAP VINA</t>
  </si>
  <si>
    <t>242</t>
  </si>
  <si>
    <t>Phí dịch vụ phần mềm kế toán AMnote tháng 04/2026 đến tháng 06/2026 theo Hợp đồng số: 02/2018/ NC9-SANRIMJOHAP</t>
  </si>
  <si>
    <t>CÔNG TY CỔ PHẦN ĐẦU TƯ VÀ KINH DOANH BẤT ĐỘNG SẢN WINHOUSE</t>
  </si>
  <si>
    <t>243</t>
  </si>
  <si>
    <t>Phí dịch vụ chứng từ khấu trừ thuế TNCN điện tử theo số lượng: Gói 50 chứng từ, thời gian sử dụng 1 năm theo Đơn đặt hàng số: PIT-ORD/2026/1045 - WINHOUSE</t>
  </si>
  <si>
    <t>CHI NHÁNH CÔNG TY TNHH HANATOUR VIETNAM - TRUNG TÂM KOREA VISA APPLICATION TẠI HÀ NỘI</t>
  </si>
  <si>
    <t>244</t>
  </si>
  <si>
    <t>Phí dịch vụ chứng từ khấu trừ thuế TNCN điện tử theo số lượng: Gói 200 chứng từ, thời gian sử dụng 2 năm theo Đơn đặt hàng số: PIT-ORD/2026/1069 - HANATOUR</t>
  </si>
  <si>
    <t>CÔNG TY TNHH TAE BANG PATEC VINA</t>
  </si>
  <si>
    <t>245</t>
  </si>
  <si>
    <t>Phí dịch vụ phần mềm kế toán AMnote từ tháng 05/2026 đến tháng 04/2027 theo Hợp đồng số: 10/2019/ NC9- TAE BANG PATEC</t>
  </si>
  <si>
    <t>Năm</t>
  </si>
  <si>
    <t>CÔNG TY TNHH ELENSYS TP. HỒ CHÍ MINH</t>
  </si>
  <si>
    <t>246</t>
  </si>
  <si>
    <t>Phí dịch vụ phần mềm kế toán AMnote từ tháng 05/2026 đến tháng 04/2027 theo Hợp đồng số: 04/2017/NC9-ELENSYS</t>
  </si>
  <si>
    <t>CÔNG TY TNHH HAJIN VINA HIGH TECH</t>
  </si>
  <si>
    <t>247</t>
  </si>
  <si>
    <t>Phí dịch vụ phần mềm kế toán AMnote từ tháng 05/2026 đến tháng 04/2027 theo hợp đồng số: F05/2022/NC9 - HAJIN VINA HIGH TECH</t>
  </si>
  <si>
    <t>CÔNG TY TNHH LUFORT SOLUTIONS</t>
  </si>
  <si>
    <t>248</t>
  </si>
  <si>
    <t>Phí dịch vụ phần mềm hóa đơn điện tử ban đầu theo Đơn đặt hàng số: E-ORD/2026/1023 - LUFORT</t>
  </si>
  <si>
    <t>Phí dịch vụ phần mềm hóa đơn điện tử theo số lượng: Gói 500 hóa đơn theo Đơn đặt hàng số: E-ORD/2026/1023 - LUFORT</t>
  </si>
  <si>
    <t>CÔNG TY TNHH NEXPLUS VINA</t>
  </si>
  <si>
    <t>249</t>
  </si>
  <si>
    <t>Phí dịch vụ chứng từ khấu trừ thuế TNCN điện tử theo số lượng: Gói 50 chứng từ, thời gian sử dụng 1 năm theo Đơn đặt hàng số: PIT-ORD/2026/1071 – NEXPLUS</t>
  </si>
  <si>
    <t xml:space="preserve">Người lập biểu_x000D_
(Ký, họ tên)</t>
  </si>
  <si>
    <t xml:space="preserve">Kế toán trưởng_x000D_
(Ký, họ tên)</t>
  </si>
  <si>
    <t xml:space="preserve">Giám đốc_x000D_
(Ký, họ tên)</t>
  </si>
  <si>
    <t>Nguyễn Đình Thủy Tiên</t>
  </si>
  <si>
    <t>Nguyễn Thị Hồng Thương</t>
  </si>
  <si>
    <t>Koo Jin Young</t>
  </si>
  <si>
    <t>Danh sách hóa đơn</t>
  </si>
  <si>
    <t>01/05/2026~31/05/2026</t>
  </si>
  <si>
    <t>Số chứng từ</t>
  </si>
  <si>
    <t>Diễn giải</t>
  </si>
  <si>
    <t xml:space="preserve">MST/CCCD HKD </t>
  </si>
  <si>
    <t>Email</t>
  </si>
  <si>
    <t>Tên người mua</t>
  </si>
  <si>
    <t>Số CMND/CCCD hoặc số hộ chiếu</t>
  </si>
  <si>
    <t>Địa chỉ</t>
  </si>
  <si>
    <t>Phương thức thanh toán</t>
  </si>
  <si>
    <t>Số tiền(VND)</t>
  </si>
  <si>
    <t>Tiền thuế GTGT(VND)</t>
  </si>
  <si>
    <t>Thanh toán(VND)</t>
  </si>
  <si>
    <t>Số tiền(FC)</t>
  </si>
  <si>
    <t>Tiền thuế GTGT(FC)</t>
  </si>
  <si>
    <t>Thanh toán(FC)</t>
  </si>
  <si>
    <t>Chiết khấu (%)</t>
  </si>
  <si>
    <t>Chiết khấu, giảm giá</t>
  </si>
  <si>
    <t>Tên loại phí 1</t>
  </si>
  <si>
    <t>Tiền phí 1</t>
  </si>
  <si>
    <t>Tên loại phí 2</t>
  </si>
  <si>
    <t>Tiền phí 2</t>
  </si>
  <si>
    <t>Không chịu thuế</t>
  </si>
  <si>
    <t>Tên loại hóa đơn</t>
  </si>
  <si>
    <t>Mô tả lỗi</t>
  </si>
  <si>
    <t>Tên ngân hàng</t>
  </si>
  <si>
    <t>Số tài khoản</t>
  </si>
  <si>
    <t>Số điện thoại</t>
  </si>
  <si>
    <t>Fax</t>
  </si>
  <si>
    <t>Tiền tệ</t>
  </si>
  <si>
    <t>Số PO</t>
  </si>
  <si>
    <t>B/L</t>
  </si>
  <si>
    <t>Ngày chuyển đổi</t>
  </si>
  <si>
    <t>Người chuyển đổi</t>
  </si>
  <si>
    <t>Mã của cơ quan thuế</t>
  </si>
  <si>
    <t>Nghị Quyết</t>
  </si>
  <si>
    <t>Mã giao dịch</t>
  </si>
  <si>
    <t>Mã hạch toán</t>
  </si>
  <si>
    <t>Mã chứng từ</t>
  </si>
  <si>
    <t>Số hộ chiếu</t>
  </si>
  <si>
    <t>Mã đơn vị quan hệ ngân sách</t>
  </si>
  <si>
    <t xml:space="preserve">Ký hiệu mẫu hóa đơn: 1 </t>
  </si>
  <si>
    <t xml:space="preserve">Ký hiệu hóa đơn: C26TNC </t>
  </si>
  <si>
    <t>HD05-01</t>
  </si>
  <si>
    <t>3600526311</t>
  </si>
  <si>
    <t>lltam@woosung.kr;ntthuyen@woosung.kr;ptnhanh@woosung.kr;ntynhi@woosung.kr</t>
  </si>
  <si>
    <t>KCN Bàu Xéo, Xã Trảng Bom, Tỉnh Đồng Nai, Việt Nam</t>
  </si>
  <si>
    <t>TM/CK</t>
  </si>
  <si>
    <t>Hóa đơn giá trị gia tăng</t>
  </si>
  <si>
    <t>VND</t>
  </si>
  <si>
    <t>0009B4951D2CF641A6B70DCCA4DEAA85BC</t>
  </si>
  <si>
    <t>V01001091067503EB984D8D4B5BA59758976B8A9841</t>
  </si>
  <si>
    <t>1151-3-2-474</t>
  </si>
  <si>
    <t>HD05-02</t>
  </si>
  <si>
    <t>3702473556</t>
  </si>
  <si>
    <t>finance11@kvbvina.com;accounting11@kvbvina.com</t>
  </si>
  <si>
    <t>Lô B_6C3_CN, Khu công nghiệp Mỹ Phước 3, Phường Thới Hòa, TP Hồ Chí Minh, Việt Nam.</t>
  </si>
  <si>
    <t>00D865607D28F045298B22297087E9EA05</t>
  </si>
  <si>
    <t>V01001091062C6891E372AA4E099749C751ED531523</t>
  </si>
  <si>
    <t>1151-3-5-498</t>
  </si>
  <si>
    <t>HD05-03</t>
  </si>
  <si>
    <t>0313209521</t>
  </si>
  <si>
    <t>Quantran@lotte.vn</t>
  </si>
  <si>
    <t>Tầng 3, Khu nhà ở kết hợp thương mại – dịch vụ và văn phòng, số 21 đường Võ Trường Toản, Phường An Khánh, TP. Hồ Chí Minh, Việt Nam.</t>
  </si>
  <si>
    <t>00BCE14ABF512941E292A19F48E47D1824</t>
  </si>
  <si>
    <t>V0100109106E29D458A581A4F1C994BE0FD24A00171</t>
  </si>
  <si>
    <t>1151-3-4-444</t>
  </si>
  <si>
    <t>HD05-04</t>
  </si>
  <si>
    <t>0319279349</t>
  </si>
  <si>
    <t>hoanglinh@adaptkorea.com;sea@adaptkorea.com</t>
  </si>
  <si>
    <t>Tầng 14, Tháp 1, Tòa nhà Saigon Centre, 65 Lê Lợi, Phường Sài Gòn, TP Hồ Chí Minh, Việt Nam.</t>
  </si>
  <si>
    <t>00344E712AD76640B1910DCF75614AAF32</t>
  </si>
  <si>
    <t>V010010910609AB83968D5E488896BB8DD2B398505C</t>
  </si>
  <si>
    <t>1151-3-3-496</t>
  </si>
  <si>
    <t>HD05-05</t>
  </si>
  <si>
    <t>00C81329B8865B437BB638E3DC97208D9F</t>
  </si>
  <si>
    <t>V0100109106728D6C0E3D534A28A3F8388F91C4C022</t>
  </si>
  <si>
    <t>1151-3-4-447</t>
  </si>
  <si>
    <t>HD05-06</t>
  </si>
  <si>
    <t>3600237278</t>
  </si>
  <si>
    <t>sjvina7@gmail.com;thuong.tran86qn@gmail.com</t>
  </si>
  <si>
    <t>KCN Ông Kèo, Xã Đại Phước, TP Đồng Nai, Việt Nam.</t>
  </si>
  <si>
    <t>00BE38ED7F66534DC2BA89C42411C0B054</t>
  </si>
  <si>
    <t>V0100109106AD395595ED3B4906830A41CE57305FBB</t>
  </si>
  <si>
    <t>1151-3-2-477</t>
  </si>
  <si>
    <t>HD05-07</t>
  </si>
  <si>
    <t>0313754647</t>
  </si>
  <si>
    <t>tuyetnt@thangloigroup.vn</t>
  </si>
  <si>
    <t>51 Kinh Dương Vương, Phường Phú Lâm, TP Hồ Chí Minh, Việt Nam</t>
  </si>
  <si>
    <t>001A4344A07A44486191326F21CB071FF6</t>
  </si>
  <si>
    <t>V0100109106A9E33A01A8754F1AA77AC5F5B67BC16A</t>
  </si>
  <si>
    <t>1151-3-6-486</t>
  </si>
  <si>
    <t>HD05-08</t>
  </si>
  <si>
    <t>0315435212-004</t>
  </si>
  <si>
    <t>ct.thao@gmail.com;ca@visaforkorea-vt.com</t>
  </si>
  <si>
    <t>Tầng 9 Tòa nhà Đa Năng, 169 Nguyễn Ngọc Vũ, Phường Yên Hòa, TP Hà Nội, Việt Nam.</t>
  </si>
  <si>
    <t>00428EDD4AE8B240D0A9577DF5499512F1</t>
  </si>
  <si>
    <t>V0100109106D21A814951D3409796663ABC60BCE0F2</t>
  </si>
  <si>
    <t>1151-3-1-479</t>
  </si>
  <si>
    <t>HD05-09</t>
  </si>
  <si>
    <t>1101895221</t>
  </si>
  <si>
    <t>factory@taebang.vn;account@taebang.vn;</t>
  </si>
  <si>
    <t>Nhà xưởng 9A, Một phần lô E-1 và một phần lô K1-1, Đường VL7, KCN Vĩnh Lộc 2, Xã Mỹ Yên, Tỉnh Tây Ninh, Việt Nam.</t>
  </si>
  <si>
    <t>00A1C78F7BA02B4B3C9CCCFF925C5B73AD</t>
  </si>
  <si>
    <t>V010010910614E33D0B597E4B85BBD99E5FA888D443</t>
  </si>
  <si>
    <t>1151-3-6-487</t>
  </si>
  <si>
    <t>HD05-10</t>
  </si>
  <si>
    <t>3603386581</t>
  </si>
  <si>
    <t>elensys2019.nhanhoadondientu@gmail.com</t>
  </si>
  <si>
    <t>Nhà xưởng số 7, đường số 1, KCN Giang Điền, Xã Trảng Bom, TP Đồng Nai, Việt Nam.</t>
  </si>
  <si>
    <t>007CCBE271A8DD41D281223C280E9925B9</t>
  </si>
  <si>
    <t>V01001091060C5167534FF446CB8FFE567148F009B8</t>
  </si>
  <si>
    <t>1151-3-7-489</t>
  </si>
  <si>
    <t>HD05-11</t>
  </si>
  <si>
    <t>3702721777</t>
  </si>
  <si>
    <t>hajinvina2018@gmail.com</t>
  </si>
  <si>
    <t>Lô B_1D_CN, Khu công nghiệp Mỹ Phước 3, Phường Chánh Phú Hòa, TP Hồ Chí Minh, Việt Nam.</t>
  </si>
  <si>
    <t>002641851D864244D3ABAAC44ECFFFF204</t>
  </si>
  <si>
    <t>V01001091061AD506FE6DF04E2A94D45299C1BD873F</t>
  </si>
  <si>
    <t>1151-3-7-490</t>
  </si>
  <si>
    <t>HD05-14</t>
  </si>
  <si>
    <t>0319473272</t>
  </si>
  <si>
    <t>han@lufortsolutions.com</t>
  </si>
  <si>
    <t>Số 6 Đường B9, Khu phố Phước Lai, Phường Long Phước, TP Hồ Chí Minh, Việt Nam.</t>
  </si>
  <si>
    <t>00C42A52531C144A8B96640183D5EE0A73</t>
  </si>
  <si>
    <t>V0100109106E007CDD018804DEDA5172412FCC6E221</t>
  </si>
  <si>
    <t>1151-3-3-497</t>
  </si>
  <si>
    <t>HD05-13</t>
  </si>
  <si>
    <t>0900872613</t>
  </si>
  <si>
    <t>invoice.nexplus01@gmail.com</t>
  </si>
  <si>
    <t>Lô CN13, Cụm công nghiệp Gia Vân, Xã Gia Vân, Tỉnh Ninh Bình, Việt Nam.</t>
  </si>
  <si>
    <t>005292E055D6A649FDA007C0850442FE00</t>
  </si>
  <si>
    <t>V01001091060C4C89F796574D80B41044251A4A55E7</t>
  </si>
  <si>
    <t>1151-3-7-491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</si>
</sst>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;-#,##0.00;&quot;&quot;;@"/>
    <numFmt numFmtId="166" formatCode="#,##0;-#,##0;&quot;&quot;;@"/>
  </numFmts>
  <fonts count="7">
    <font>
      <sz val="11"/>
      <color rgb="FF000000"/>
      <name val="Calibri"/>
    </font>
    <font>
      <b/>
      <sz val="10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b/>
      <sz val="15"/>
      <color rgb="FF000000"/>
      <name val="Times New Roman"/>
    </font>
    <font>
      <u/>
      <sz val="10"/>
      <color rgb="FF0000FF"/>
      <name val="Times New Roman"/>
    </font>
    <font>
      <b/>
      <sz val="14"/>
      <color rgb="FF000000"/>
      <name val="Times New Roman"/>
    </font>
  </fonts>
  <fills count="29">
    <fill>
      <patternFill patternType="none"/>
    </fill>
    <fill>
      <patternFill patternType="none"/>
    </fill>
    <fill>
      <patternFill patternType="none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/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/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7">
    <xf numFmtId="0" fontId="0" fillId="0" borderId="0"/>
    <xf numFmtId="0" fontId="0" fillId="2" applyFill="1" borderId="0" applyAlignment="1">
      <alignment horizontal="left" vertical="top" wrapText="1"/>
    </xf>
    <xf numFmtId="49" applyNumberFormat="1" fontId="1" applyFont="1" fillId="3" applyFill="1" borderId="1" applyBorder="1" applyAlignment="1">
      <alignment horizontal="center" vertical="center" wrapText="1"/>
    </xf>
    <xf numFmtId="49" applyNumberFormat="1" fontId="2" applyFont="1" fillId="6" applyFill="1" borderId="4" applyBorder="1" applyAlignment="1">
      <alignment horizontal="left" vertical="center" wrapText="1"/>
    </xf>
    <xf numFmtId="49" applyNumberFormat="1" fontId="1" applyFont="1" fillId="4" applyFill="1" borderId="2" applyBorder="1" applyAlignment="1">
      <alignment horizontal="left" vertical="center" wrapText="1"/>
    </xf>
    <xf numFmtId="0" fontId="3" applyFont="1" fillId="2" applyFill="1" borderId="0" applyAlignment="1">
      <alignment horizontal="left" vertical="top" wrapText="1"/>
    </xf>
    <xf numFmtId="14" applyNumberFormat="1" fontId="2" applyFont="1" fillId="10" applyFill="1" borderId="8" applyBorder="1" applyAlignment="1">
      <alignment horizontal="left" vertical="center" wrapText="1"/>
    </xf>
    <xf numFmtId="0" fontId="2" applyFont="1" fillId="11" applyFill="1" borderId="9" applyBorder="1" applyAlignment="1">
      <alignment horizontal="right" vertical="center" wrapText="1"/>
    </xf>
    <xf numFmtId="4" applyNumberFormat="1" fontId="2" applyFont="1" fillId="18" applyFill="1" borderId="16" applyBorder="1" applyAlignment="1">
      <alignment horizontal="right" vertical="center" wrapText="1"/>
    </xf>
    <xf numFmtId="49" applyNumberFormat="1" fontId="2" applyFont="1" fillId="21" applyFill="1" borderId="19" applyBorder="1" applyAlignment="1">
      <alignment horizontal="center" vertical="center" wrapText="1"/>
    </xf>
    <xf numFmtId="22" applyNumberFormat="1" fontId="2" applyFont="1" fillId="22" applyFill="1" borderId="20" applyBorder="1" applyAlignment="1">
      <alignment horizontal="left" vertical="center" wrapText="1"/>
    </xf>
    <xf numFmtId="0" fontId="2" applyFont="1" fillId="23" applyFill="1" borderId="21" applyBorder="1" applyAlignment="1">
      <alignment horizontal="left" vertical="center" wrapText="1"/>
    </xf>
    <xf numFmtId="3" applyNumberFormat="1" fontId="2" applyFont="1" fillId="24" applyFill="1" borderId="22" applyBorder="1" applyAlignment="1">
      <alignment horizontal="right" vertical="center" wrapText="1"/>
    </xf>
    <xf numFmtId="0" fontId="1" applyFont="1" fillId="7" applyFill="1" borderId="5" applyBorder="1" applyAlignment="1">
      <alignment horizontal="right" vertical="center" wrapText="1"/>
    </xf>
    <xf numFmtId="0" fontId="1" applyFont="1" fillId="12" applyFill="1" borderId="10" applyBorder="1" applyAlignment="1">
      <alignment horizontal="right" vertical="center" wrapText="1"/>
    </xf>
    <xf numFmtId="0" fontId="1" applyFont="1" fillId="25" applyFill="1" borderId="23" applyBorder="1" applyAlignment="1">
      <alignment horizontal="right" vertical="center" wrapText="1"/>
    </xf>
    <xf numFmtId="0" fontId="1" applyFont="1" fillId="8" applyFill="1" borderId="6" applyBorder="1" applyAlignment="1">
      <alignment horizontal="right" vertical="center" wrapText="1"/>
    </xf>
    <xf numFmtId="3" applyNumberFormat="1" fontId="1" applyFont="1" fillId="13" applyFill="1" borderId="11" applyBorder="1" applyAlignment="1">
      <alignment horizontal="right" vertical="center" wrapText="1"/>
    </xf>
    <xf numFmtId="4" applyNumberFormat="1" fontId="1" applyFont="1" fillId="16" applyFill="1" borderId="14" applyBorder="1" applyAlignment="1">
      <alignment horizontal="right" vertical="center" wrapText="1"/>
    </xf>
    <xf numFmtId="0" fontId="1" applyFont="1" fillId="19" applyFill="1" borderId="17" applyBorder="1" applyAlignment="1">
      <alignment horizontal="right" vertical="center" wrapText="1"/>
    </xf>
    <xf numFmtId="0" fontId="1" applyFont="1" fillId="26" applyFill="1" borderId="24" applyBorder="1" applyAlignment="1">
      <alignment horizontal="right" vertical="center" wrapText="1"/>
    </xf>
    <xf numFmtId="0" fontId="1" applyFont="1" fillId="9" applyFill="1" borderId="7" applyBorder="1" applyAlignment="1">
      <alignment horizontal="right" vertical="center" wrapText="1"/>
    </xf>
    <xf numFmtId="0" fontId="1" applyFont="1" fillId="14" applyFill="1" borderId="12" applyBorder="1" applyAlignment="1">
      <alignment horizontal="right" vertical="center" wrapText="1"/>
    </xf>
    <xf numFmtId="0" fontId="1" applyFont="1" fillId="27" applyFill="1" borderId="25" applyBorder="1" applyAlignment="1">
      <alignment horizontal="right" vertical="center" wrapText="1"/>
    </xf>
    <xf numFmtId="0" fontId="1" applyFont="1" fillId="5" applyFill="1" borderId="3" applyBorder="1" applyAlignment="1">
      <alignment horizontal="right" vertical="center" wrapText="1"/>
    </xf>
    <xf numFmtId="3" applyNumberFormat="1" fontId="1" applyFont="1" fillId="15" applyFill="1" borderId="13" applyBorder="1" applyAlignment="1">
      <alignment horizontal="right" vertical="center" wrapText="1"/>
    </xf>
    <xf numFmtId="4" applyNumberFormat="1" fontId="1" applyFont="1" fillId="17" applyFill="1" borderId="15" applyBorder="1" applyAlignment="1">
      <alignment horizontal="right" vertical="center" wrapText="1"/>
    </xf>
    <xf numFmtId="0" fontId="1" applyFont="1" fillId="20" applyFill="1" borderId="18" applyBorder="1" applyAlignment="1">
      <alignment horizontal="right" vertical="center" wrapText="1"/>
    </xf>
    <xf numFmtId="0" fontId="1" applyFont="1" fillId="28" applyFill="1" borderId="26" applyBorder="1" applyAlignment="1">
      <alignment horizontal="right" vertical="center" wrapText="1"/>
    </xf>
    <xf numFmtId="0" fontId="2" applyFont="1" fillId="2" applyFill="1" borderId="0" applyAlignment="1">
      <alignment horizontal="left" vertical="top" wrapText="1"/>
    </xf>
    <xf numFmtId="0" fontId="2" applyFont="1" fillId="2" applyFill="1" borderId="0" applyAlignment="1">
      <alignment horizontal="left" vertical="center" wrapText="1"/>
    </xf>
    <xf numFmtId="0" fontId="4" applyFont="1" fillId="2" applyFill="1" borderId="0" applyAlignment="1">
      <alignment horizontal="center" vertical="center" wrapText="1"/>
    </xf>
    <xf numFmtId="0" fontId="3" applyFont="1" fillId="2" applyFill="1" borderId="0" applyAlignment="1">
      <alignment horizontal="center" vertical="center" wrapText="1"/>
    </xf>
    <xf numFmtId="0" fontId="1" applyFont="1" fillId="3" applyFill="1" borderId="1" applyBorder="1" applyAlignment="1">
      <alignment horizontal="center" vertical="center" wrapText="1"/>
    </xf>
    <xf numFmtId="49" applyNumberFormat="1" fontId="5" applyFont="1" fillId="6" applyFill="1" borderId="4" applyBorder="1" applyAlignment="1">
      <alignment horizontal="left" vertical="center" wrapText="1"/>
    </xf>
    <xf numFmtId="0" fontId="6" applyFont="1" fillId="2" applyFill="1" borderId="0" applyAlignment="1">
      <alignment horizontal="center" vertical="center" wrapText="1"/>
    </xf>
    <xf numFmtId="165" applyNumberFormat="1" fontId="0" fillId="2" applyFill="1" borderId="0" applyAlignment="1">
      <alignment horizontal="left" vertical="top" wrapText="1"/>
    </xf>
    <xf numFmtId="166" applyNumberFormat="1" fontId="0" fillId="2" applyFill="1" borderId="0" applyAlignment="1">
      <alignment horizontal="left" vertical="top" wrapText="1"/>
    </xf>
    <xf numFmtId="49" applyNumberFormat="1" fontId="1" applyFont="1" fillId="3" applyFill="1" borderId="1" applyBorder="1" applyAlignment="1">
      <alignment horizontal="left" vertical="center" wrapText="1"/>
    </xf>
    <xf numFmtId="0" fontId="1" applyFont="1" fillId="3" applyFill="1" borderId="1" applyBorder="1" applyAlignment="1">
      <alignment horizontal="left" vertical="center"/>
    </xf>
    <xf numFmtId="0" fontId="1" applyFont="1" fillId="3" applyFill="1" borderId="1" applyBorder="1" applyAlignment="1">
      <alignment horizontal="left" vertical="center" wrapText="1"/>
    </xf>
    <xf numFmtId="49" applyNumberFormat="1" fontId="2" applyFont="1" fillId="2" applyFill="1" borderId="1" applyBorder="1" applyAlignment="1">
      <alignment horizontal="left" vertical="top" wrapText="1"/>
    </xf>
    <xf numFmtId="0" fontId="5" applyFont="1" fillId="2" applyFill="1" borderId="1" applyBorder="1" applyAlignment="1">
      <alignment horizontal="left" vertical="top"/>
    </xf>
    <xf numFmtId="0" fontId="2" applyFont="1" fillId="2" applyFill="1" borderId="1" applyBorder="1" applyAlignment="1">
      <alignment horizontal="left" vertical="top" wrapText="1"/>
    </xf>
    <xf numFmtId="0" fontId="2" applyFont="1" fillId="2" applyFill="1" borderId="1" applyBorder="1" applyAlignment="1">
      <alignment horizontal="left" vertical="top"/>
    </xf>
    <xf numFmtId="0" fontId="2" applyFont="1" fillId="2" applyFill="1" borderId="1" applyBorder="1" applyAlignment="1">
      <alignment horizontal="center" vertical="top" wrapText="1"/>
    </xf>
    <xf numFmtId="49" applyNumberFormat="1" fontId="2" applyFont="1" fillId="2" applyFill="1" borderId="1" applyBorder="1" applyAlignment="1">
      <alignment horizontal="center" vertical="top" wrapText="1"/>
    </xf>
    <xf numFmtId="164" applyNumberFormat="1" fontId="2" applyFont="1" fillId="2" applyFill="1" borderId="1" applyBorder="1" applyAlignment="1">
      <alignment horizontal="center" vertical="top" wrapText="1"/>
    </xf>
    <xf numFmtId="164" applyNumberFormat="1" fontId="1" applyFont="1" fillId="3" applyFill="1" borderId="1" applyBorder="1" applyAlignment="1">
      <alignment horizontal="center" vertical="center" wrapText="1"/>
    </xf>
    <xf numFmtId="165" applyNumberFormat="1" fontId="2" applyFont="1" fillId="2" applyFill="1" borderId="1" applyBorder="1" applyAlignment="1">
      <alignment horizontal="right" vertical="top" wrapText="1"/>
    </xf>
    <xf numFmtId="166" applyNumberFormat="1" fontId="2" applyFont="1" fillId="2" applyFill="1" borderId="1" applyBorder="1" applyAlignment="1">
      <alignment horizontal="right" vertical="top" wrapText="1"/>
    </xf>
    <xf numFmtId="0" fontId="2" applyFont="1" fillId="2" applyFill="1" borderId="1" applyBorder="1" applyAlignment="1">
      <alignment horizontal="right" vertical="top" wrapText="1"/>
    </xf>
    <xf numFmtId="165" applyNumberFormat="1" fontId="1" applyFont="1" fillId="3" applyFill="1" borderId="1" applyBorder="1" applyAlignment="1">
      <alignment horizontal="right" vertical="center" wrapText="1"/>
    </xf>
    <xf numFmtId="166" applyNumberFormat="1" fontId="1" applyFont="1" fillId="3" applyFill="1" borderId="1" applyBorder="1" applyAlignment="1">
      <alignment horizontal="right" vertical="center" wrapText="1"/>
    </xf>
    <xf numFmtId="0" fontId="1" applyFont="1" fillId="3" applyFill="1" borderId="1" applyBorder="1" applyAlignment="1">
      <alignment horizontal="right" vertical="center" wrapText="1"/>
    </xf>
    <xf numFmtId="0" fontId="2" applyFont="1" fillId="2" applyFill="1" borderId="0" applyAlignment="1">
      <alignment horizontal="center" vertical="center" wrapText="1"/>
    </xf>
    <xf numFmtId="0" fontId="1" applyFont="1" fillId="2" applyFill="1" borderId="0" applyAlignment="1">
      <alignment horizontal="center" vertical="center" wrapText="1"/>
    </xf>
    <xf numFmtId="166" applyNumberFormat="1" fontId="4" applyFont="1" fillId="2" applyFill="1" borderId="0" applyAlignment="1">
      <alignment horizontal="center" vertical="center" wrapText="1"/>
    </xf>
    <xf numFmtId="166" applyNumberFormat="1" fontId="3" applyFont="1" fillId="2" applyFill="1" borderId="0" applyAlignment="1">
      <alignment horizontal="center" vertical="center" wrapText="1"/>
    </xf>
    <xf numFmtId="166" applyNumberFormat="1" fontId="1" applyFont="1" fillId="3" applyFill="1" borderId="1" applyBorder="1" applyAlignment="1">
      <alignment horizontal="center" vertical="center" wrapText="1"/>
    </xf>
    <xf numFmtId="166" applyNumberFormat="1" fontId="1" applyFont="1" fillId="4" applyFill="1" borderId="2" applyBorder="1" applyAlignment="1">
      <alignment horizontal="left" vertical="center" wrapText="1"/>
    </xf>
    <xf numFmtId="166" applyNumberFormat="1" fontId="2" applyFont="1" fillId="6" applyFill="1" borderId="4" applyBorder="1" applyAlignment="1">
      <alignment horizontal="left" vertical="center" wrapText="1"/>
    </xf>
    <xf numFmtId="166" applyNumberFormat="1" fontId="1" applyFont="1" fillId="7" applyFill="1" borderId="5" applyBorder="1" applyAlignment="1">
      <alignment horizontal="right" vertical="center" wrapText="1"/>
    </xf>
    <xf numFmtId="166" applyNumberFormat="1" fontId="1" applyFont="1" fillId="8" applyFill="1" borderId="6" applyBorder="1" applyAlignment="1">
      <alignment horizontal="right" vertical="center" wrapText="1"/>
    </xf>
    <xf numFmtId="166" applyNumberFormat="1" fontId="1" applyFont="1" fillId="9" applyFill="1" borderId="7" applyBorder="1" applyAlignment="1">
      <alignment horizontal="right" vertical="center" wrapText="1"/>
    </xf>
    <xf numFmtId="166" applyNumberFormat="1" fontId="1" applyFont="1" fillId="5" applyFill="1" borderId="3" applyBorder="1" applyAlignment="1">
      <alignment horizontal="right" vertical="center" wrapText="1"/>
    </xf>
    <xf numFmtId="166" applyNumberFormat="1" fontId="2" applyFont="1" fillId="11" applyFill="1" borderId="9" applyBorder="1" applyAlignment="1">
      <alignment horizontal="right" vertical="center" wrapText="1"/>
    </xf>
    <xf numFmtId="166" applyNumberFormat="1" fontId="1" applyFont="1" fillId="12" applyFill="1" borderId="10" applyBorder="1" applyAlignment="1">
      <alignment horizontal="right" vertical="center" wrapText="1"/>
    </xf>
    <xf numFmtId="166" applyNumberFormat="1" fontId="1" applyFont="1" fillId="13" applyFill="1" borderId="11" applyBorder="1" applyAlignment="1">
      <alignment horizontal="right" vertical="center" wrapText="1"/>
    </xf>
    <xf numFmtId="166" applyNumberFormat="1" fontId="1" applyFont="1" fillId="14" applyFill="1" borderId="12" applyBorder="1" applyAlignment="1">
      <alignment horizontal="right" vertical="center" wrapText="1"/>
    </xf>
    <xf numFmtId="166" applyNumberFormat="1" fontId="1" applyFont="1" fillId="15" applyFill="1" borderId="13" applyBorder="1" applyAlignment="1">
      <alignment horizontal="right" vertical="center" wrapText="1"/>
    </xf>
    <xf numFmtId="165" applyNumberFormat="1" fontId="4" applyFont="1" fillId="2" applyFill="1" borderId="0" applyAlignment="1">
      <alignment horizontal="center" vertical="center" wrapText="1"/>
    </xf>
    <xf numFmtId="165" applyNumberFormat="1" fontId="3" applyFont="1" fillId="2" applyFill="1" borderId="0" applyAlignment="1">
      <alignment horizontal="center" vertical="center" wrapText="1"/>
    </xf>
    <xf numFmtId="165" applyNumberFormat="1" fontId="1" applyFont="1" fillId="3" applyFill="1" borderId="1" applyBorder="1" applyAlignment="1">
      <alignment horizontal="center" vertical="center" wrapText="1"/>
    </xf>
    <xf numFmtId="165" applyNumberFormat="1" fontId="1" applyFont="1" fillId="4" applyFill="1" borderId="2" applyBorder="1" applyAlignment="1">
      <alignment horizontal="left" vertical="center" wrapText="1"/>
    </xf>
    <xf numFmtId="165" applyNumberFormat="1" fontId="2" applyFont="1" fillId="11" applyFill="1" borderId="9" applyBorder="1" applyAlignment="1">
      <alignment horizontal="right" vertical="center" wrapText="1"/>
    </xf>
    <xf numFmtId="165" applyNumberFormat="1" fontId="1" applyFont="1" fillId="12" applyFill="1" borderId="10" applyBorder="1" applyAlignment="1">
      <alignment horizontal="right" vertical="center" wrapText="1"/>
    </xf>
    <xf numFmtId="165" applyNumberFormat="1" fontId="1" applyFont="1" fillId="13" applyFill="1" borderId="11" applyBorder="1" applyAlignment="1">
      <alignment horizontal="right" vertical="center" wrapText="1"/>
    </xf>
    <xf numFmtId="165" applyNumberFormat="1" fontId="1" applyFont="1" fillId="14" applyFill="1" borderId="12" applyBorder="1" applyAlignment="1">
      <alignment horizontal="right" vertical="center" wrapText="1"/>
    </xf>
    <xf numFmtId="165" applyNumberFormat="1" fontId="1" applyFont="1" fillId="15" applyFill="1" borderId="13" applyBorder="1" applyAlignment="1">
      <alignment horizontal="right" vertical="center" wrapText="1"/>
    </xf>
    <xf numFmtId="165" applyNumberFormat="1" fontId="1" applyFont="1" fillId="16" applyFill="1" borderId="14" applyBorder="1" applyAlignment="1">
      <alignment horizontal="right" vertical="center" wrapText="1"/>
    </xf>
    <xf numFmtId="165" applyNumberFormat="1" fontId="1" applyFont="1" fillId="17" applyFill="1" borderId="15" applyBorder="1" applyAlignment="1">
      <alignment horizontal="right" vertical="center" wrapText="1"/>
    </xf>
    <xf numFmtId="166" applyNumberFormat="1" fontId="2" applyFont="1" fillId="18" applyFill="1" borderId="16" applyBorder="1" applyAlignment="1">
      <alignment horizontal="right" vertical="center" wrapText="1"/>
    </xf>
    <xf numFmtId="166" applyNumberFormat="1" fontId="1" applyFont="1" fillId="19" applyFill="1" borderId="17" applyBorder="1" applyAlignment="1">
      <alignment horizontal="right" vertical="center" wrapText="1"/>
    </xf>
    <xf numFmtId="166" applyNumberFormat="1" fontId="1" applyFont="1" fillId="20" applyFill="1" borderId="18" applyBorder="1" applyAlignment="1">
      <alignment horizontal="right" vertical="center" wrapText="1"/>
    </xf>
    <xf numFmtId="165" applyNumberFormat="1" fontId="1" applyFont="1" fillId="19" applyFill="1" borderId="17" applyBorder="1" applyAlignment="1">
      <alignment horizontal="right" vertical="center" wrapText="1"/>
    </xf>
    <xf numFmtId="165" applyNumberFormat="1" fontId="1" applyFont="1" fillId="20" applyFill="1" borderId="18" applyBorder="1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1" Type="http://schemas.openxmlformats.org/officeDocument/2006/relationships/worksheet" Target="worksheets/sheet2.xml"/><Relationship Id="rId2" Type="http://schemas.openxmlformats.org/officeDocument/2006/relationships/sharedStrings" Target="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35"/>
  <sheetViews>
    <sheetView showGridLines="0" workbookViewId="0"/>
  </sheetViews>
  <cols>
    <col min="1" max="1" width="3" customWidth="1" style="1"/>
    <col min="2" max="2" width="3" customWidth="1" style="1"/>
    <col min="3" max="3" width="13.42" customWidth="1" style="1"/>
    <col min="4" max="4" width="20.42" customWidth="1" style="1"/>
    <col min="5" max="5" width="14.71" customWidth="1" style="1"/>
    <col min="6" max="6" width="10.71" customWidth="1" style="1"/>
    <col min="7" max="7" width="20.14" customWidth="1" style="1"/>
    <col min="8" max="8" width="20.14" customWidth="1" style="1"/>
    <col min="9" max="9" width="10.71" customWidth="1" style="1"/>
    <col min="10" max="10" width="16.71" customWidth="1" style="1"/>
    <col min="11" max="11" width="16.71" customWidth="1" style="1"/>
    <col min="12" max="12" width="16.71" customWidth="1" style="1"/>
    <col min="13" max="13" width="16.71" customWidth="1" style="1"/>
    <col min="14" max="14" width="16.71" customWidth="1" style="1"/>
    <col min="15" max="15" width="16.71" customWidth="1" style="37"/>
    <col min="16" max="16" width="16.71" customWidth="1" style="37"/>
    <col min="17" max="17" width="13.71" customWidth="1" style="37"/>
    <col min="18" max="18" width="13.71" customWidth="1" style="36"/>
    <col min="19" max="19" width="13.71" customWidth="1" style="36"/>
    <col min="20" max="20" width="13.71" customWidth="1" style="36"/>
    <col min="21" max="21" width="13.71" customWidth="1" style="36"/>
    <col min="22" max="22" width="13.71" customWidth="1" style="37"/>
    <col min="23" max="23" width="13.71" customWidth="1" style="36"/>
    <col min="24" max="24" width="13.71" customWidth="1" style="1"/>
    <col min="25" max="25" width="13.71" customWidth="1" style="37"/>
    <col min="26" max="26" width="13.71" customWidth="1" style="1"/>
    <col min="27" max="27" width="13.71" customWidth="1" style="37"/>
    <col min="28" max="28" width="13.71" customWidth="1" style="1"/>
    <col min="29" max="29" width="13.71" customWidth="1" style="1"/>
    <col min="30" max="30" width="13.71" customWidth="1" style="1"/>
    <col min="31" max="31" width="13.71" customWidth="1" style="1"/>
    <col min="32" max="32" width="13.71" customWidth="1" style="1"/>
    <col min="33" max="33" width="13.71" customWidth="1" style="1"/>
    <col min="34" max="34" width="13.71" customWidth="1" style="1"/>
    <col min="35" max="35" width="13.71" customWidth="1" style="1"/>
    <col min="36" max="36" width="13.71" customWidth="1" style="1"/>
    <col min="37" max="37" width="13.71" customWidth="1" style="1"/>
    <col min="38" max="38" width="13.71" customWidth="1" style="1"/>
    <col min="39" max="39" width="13.71" customWidth="1" style="1"/>
    <col min="40" max="40" width="13.71" customWidth="1" style="1"/>
    <col min="41" max="41" width="13.71" customWidth="1" style="1"/>
    <col min="42" max="42" width="13.71" customWidth="1" style="1"/>
    <col min="43" max="43" width="13.71" customWidth="1" style="1"/>
    <col min="44" max="44" width="13.71" customWidth="1" style="1"/>
    <col min="45" max="45" width="13.71" customWidth="1" style="1"/>
    <col min="46" max="46" width="13.71" customWidth="1" style="1"/>
    <col min="47" max="47" width="13.71" customWidth="1" style="1"/>
    <col min="48" max="48" width="13.71" customWidth="1" style="1"/>
    <col min="49" max="49" width="13.71" customWidth="1" style="1"/>
    <col min="50" max="50" width="13.71" customWidth="1" style="1"/>
    <col min="51" max="51" width="13.71" customWidth="1" style="1"/>
    <col min="52" max="52" width="13.71" customWidth="1" style="1"/>
  </cols>
  <sheetData>
    <row r="1" ht="42" customHeight="1">
      <c r="A1" s="30" t="s">
        <v>0</v>
      </c>
    </row>
    <row r="3" ht="20" customHeight="1">
      <c r="A3" s="31" t="s">
        <v>71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57"/>
      <c r="P3" s="57"/>
      <c r="Q3" s="57"/>
      <c r="R3" s="71"/>
      <c r="S3" s="71"/>
      <c r="T3" s="71"/>
      <c r="U3" s="71"/>
      <c r="V3" s="57"/>
      <c r="W3" s="71"/>
      <c r="X3" s="31"/>
      <c r="Y3" s="57"/>
      <c r="Z3" s="31"/>
      <c r="AA3" s="57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</row>
    <row r="4" ht="15" customHeight="1">
      <c r="A4" s="32" t="s">
        <v>72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58"/>
      <c r="P4" s="58"/>
      <c r="Q4" s="58"/>
      <c r="R4" s="72"/>
      <c r="S4" s="72"/>
      <c r="T4" s="72"/>
      <c r="U4" s="72"/>
      <c r="V4" s="58"/>
      <c r="W4" s="72"/>
      <c r="X4" s="32"/>
      <c r="Y4" s="58"/>
      <c r="Z4" s="32"/>
      <c r="AA4" s="58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</row>
    <row r="5" ht="30" customHeight="1">
      <c r="A5" s="30" t="s">
        <v>19</v>
      </c>
    </row>
    <row r="6" ht="14.25">
      <c r="A6" s="2" t="s">
        <v>5</v>
      </c>
      <c r="B6" s="2"/>
      <c r="C6" s="2"/>
      <c r="D6" s="2" t="s">
        <v>6</v>
      </c>
      <c r="E6" s="2" t="s">
        <v>7</v>
      </c>
      <c r="F6" s="2" t="s">
        <v>73</v>
      </c>
      <c r="G6" s="2" t="s">
        <v>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  <c r="O6" s="59" t="s">
        <v>14</v>
      </c>
      <c r="P6" s="59" t="s">
        <v>81</v>
      </c>
      <c r="Q6" s="59" t="s">
        <v>82</v>
      </c>
      <c r="R6" s="73" t="s">
        <v>83</v>
      </c>
      <c r="S6" s="73" t="s">
        <v>84</v>
      </c>
      <c r="T6" s="73" t="s">
        <v>85</v>
      </c>
      <c r="U6" s="73" t="s">
        <v>86</v>
      </c>
      <c r="V6" s="59" t="s">
        <v>16</v>
      </c>
      <c r="W6" s="73" t="s">
        <v>87</v>
      </c>
      <c r="X6" s="2" t="s">
        <v>88</v>
      </c>
      <c r="Y6" s="59" t="s">
        <v>89</v>
      </c>
      <c r="Z6" s="2" t="s">
        <v>90</v>
      </c>
      <c r="AA6" s="59" t="s">
        <v>91</v>
      </c>
      <c r="AB6" s="2" t="s">
        <v>92</v>
      </c>
      <c r="AC6" s="2" t="s">
        <v>93</v>
      </c>
      <c r="AD6" s="2" t="s">
        <v>94</v>
      </c>
      <c r="AE6" s="2" t="s">
        <v>95</v>
      </c>
      <c r="AF6" s="2" t="s">
        <v>96</v>
      </c>
      <c r="AG6" s="2" t="s">
        <v>97</v>
      </c>
      <c r="AH6" s="2" t="s">
        <v>98</v>
      </c>
      <c r="AI6" s="2" t="s">
        <v>99</v>
      </c>
      <c r="AJ6" s="2" t="s">
        <v>100</v>
      </c>
      <c r="AK6" s="2" t="s">
        <v>101</v>
      </c>
      <c r="AL6" s="2" t="s">
        <v>102</v>
      </c>
      <c r="AM6" s="2" t="s">
        <v>103</v>
      </c>
      <c r="AN6" s="2" t="s">
        <v>104</v>
      </c>
      <c r="AO6" s="2" t="s">
        <v>18</v>
      </c>
      <c r="AP6" s="2" t="s">
        <v>18</v>
      </c>
      <c r="AQ6" s="2" t="s">
        <v>105</v>
      </c>
      <c r="AR6" s="2" t="s">
        <v>106</v>
      </c>
      <c r="AS6" s="2" t="s">
        <v>107</v>
      </c>
      <c r="AT6" s="2" t="s">
        <v>108</v>
      </c>
      <c r="AU6" s="2" t="s">
        <v>109</v>
      </c>
      <c r="AV6" s="2" t="s">
        <v>110</v>
      </c>
      <c r="AW6" s="2" t="s">
        <v>111</v>
      </c>
      <c r="AX6" s="2" t="s">
        <v>2</v>
      </c>
    </row>
    <row r="7" ht="15">
      <c r="A7" s="4" t="s">
        <v>112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60"/>
      <c r="P7" s="60"/>
      <c r="Q7" s="60"/>
      <c r="R7" s="74"/>
      <c r="S7" s="74"/>
      <c r="T7" s="74"/>
      <c r="U7" s="74"/>
      <c r="V7" s="60"/>
      <c r="W7" s="74"/>
      <c r="X7" s="4"/>
      <c r="Y7" s="60"/>
      <c r="Z7" s="4"/>
      <c r="AA7" s="60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ht="15">
      <c r="A8" s="5"/>
      <c r="B8" s="4" t="s">
        <v>113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60"/>
      <c r="P8" s="60"/>
      <c r="Q8" s="60"/>
      <c r="R8" s="74"/>
      <c r="S8" s="74"/>
      <c r="T8" s="74"/>
      <c r="U8" s="74"/>
      <c r="V8" s="60"/>
      <c r="W8" s="74"/>
      <c r="X8" s="4"/>
      <c r="Y8" s="60"/>
      <c r="Z8" s="4"/>
      <c r="AA8" s="60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ht="17.25">
      <c r="A9" s="5"/>
      <c r="B9" s="5"/>
      <c r="C9" s="3" t="s">
        <v>21</v>
      </c>
      <c r="D9" s="34" t="s">
        <v>22</v>
      </c>
      <c r="E9" s="6">
        <v>46146</v>
      </c>
      <c r="F9" s="3" t="s">
        <v>114</v>
      </c>
      <c r="G9" s="3" t="s">
        <v>20</v>
      </c>
      <c r="H9" s="3" t="s">
        <v>23</v>
      </c>
      <c r="I9" s="3" t="s">
        <v>115</v>
      </c>
      <c r="J9" s="3" t="s">
        <v>116</v>
      </c>
      <c r="K9" s="3"/>
      <c r="L9" s="3"/>
      <c r="M9" s="3" t="s">
        <v>117</v>
      </c>
      <c r="N9" s="3" t="s">
        <v>118</v>
      </c>
      <c r="O9" s="61" t="s">
        <v>25</v>
      </c>
      <c r="P9" s="66">
        <v>1163800</v>
      </c>
      <c r="Q9" s="66">
        <v>0</v>
      </c>
      <c r="R9" s="75">
        <v>1163800</v>
      </c>
      <c r="S9" s="75">
        <v>0</v>
      </c>
      <c r="T9" s="75">
        <v>0</v>
      </c>
      <c r="U9" s="75">
        <v>0</v>
      </c>
      <c r="V9" s="82">
        <v>0</v>
      </c>
      <c r="W9" s="75">
        <v>0</v>
      </c>
      <c r="X9" s="8">
        <v>0</v>
      </c>
      <c r="Y9" s="61"/>
      <c r="Z9" s="7">
        <v>0</v>
      </c>
      <c r="AA9" s="61"/>
      <c r="AB9" s="7">
        <v>0</v>
      </c>
      <c r="AC9" s="9"/>
      <c r="AD9" s="3" t="s">
        <v>119</v>
      </c>
      <c r="AE9" s="3"/>
      <c r="AF9" s="3"/>
      <c r="AG9" s="3"/>
      <c r="AH9" s="3"/>
      <c r="AI9" s="3"/>
      <c r="AJ9" s="3" t="s">
        <v>120</v>
      </c>
      <c r="AK9" s="3"/>
      <c r="AL9" s="3"/>
      <c r="AM9" s="10" t="s">
        <v>19</v>
      </c>
      <c r="AN9" s="11">
        <v/>
      </c>
      <c r="AO9" s="3"/>
      <c r="AP9" s="3"/>
      <c r="AQ9" s="3" t="s">
        <v>121</v>
      </c>
      <c r="AR9" s="12">
        <v>0</v>
      </c>
      <c r="AS9" s="3" t="s">
        <v>122</v>
      </c>
      <c r="AT9" s="3" t="s">
        <v>123</v>
      </c>
      <c r="AU9" s="3" t="s">
        <v>114</v>
      </c>
      <c r="AV9" s="3"/>
      <c r="AW9" s="3"/>
      <c r="AX9" s="3"/>
    </row>
    <row r="10" ht="17.25">
      <c r="A10" s="5"/>
      <c r="B10" s="5"/>
      <c r="C10" s="3" t="s">
        <v>21</v>
      </c>
      <c r="D10" s="34" t="s">
        <v>27</v>
      </c>
      <c r="E10" s="6">
        <v>46146</v>
      </c>
      <c r="F10" s="3" t="s">
        <v>124</v>
      </c>
      <c r="G10" s="3" t="s">
        <v>26</v>
      </c>
      <c r="H10" s="3" t="s">
        <v>28</v>
      </c>
      <c r="I10" s="3" t="s">
        <v>125</v>
      </c>
      <c r="J10" s="3" t="s">
        <v>126</v>
      </c>
      <c r="K10" s="3"/>
      <c r="L10" s="3"/>
      <c r="M10" s="3" t="s">
        <v>127</v>
      </c>
      <c r="N10" s="3" t="s">
        <v>118</v>
      </c>
      <c r="O10" s="61" t="s">
        <v>25</v>
      </c>
      <c r="P10" s="66">
        <v>2250000</v>
      </c>
      <c r="Q10" s="66">
        <v>0</v>
      </c>
      <c r="R10" s="75">
        <v>2250000</v>
      </c>
      <c r="S10" s="75">
        <v>0</v>
      </c>
      <c r="T10" s="75">
        <v>0</v>
      </c>
      <c r="U10" s="75">
        <v>0</v>
      </c>
      <c r="V10" s="82">
        <v>0</v>
      </c>
      <c r="W10" s="75">
        <v>0</v>
      </c>
      <c r="X10" s="8">
        <v>0</v>
      </c>
      <c r="Y10" s="61"/>
      <c r="Z10" s="7">
        <v>0</v>
      </c>
      <c r="AA10" s="61"/>
      <c r="AB10" s="7">
        <v>0</v>
      </c>
      <c r="AC10" s="3"/>
      <c r="AD10" s="3" t="s">
        <v>119</v>
      </c>
      <c r="AE10" s="3"/>
      <c r="AF10" s="3"/>
      <c r="AG10" s="3"/>
      <c r="AH10" s="3"/>
      <c r="AI10" s="3"/>
      <c r="AJ10" s="3" t="s">
        <v>120</v>
      </c>
      <c r="AK10" s="3"/>
      <c r="AL10" s="3"/>
      <c r="AM10" s="10" t="s">
        <v>19</v>
      </c>
      <c r="AN10" s="11">
        <v/>
      </c>
      <c r="AO10" s="3"/>
      <c r="AP10" s="3"/>
      <c r="AQ10" s="3" t="s">
        <v>128</v>
      </c>
      <c r="AR10" s="12">
        <v>0</v>
      </c>
      <c r="AS10" s="3" t="s">
        <v>129</v>
      </c>
      <c r="AT10" s="3" t="s">
        <v>130</v>
      </c>
      <c r="AU10" s="3" t="s">
        <v>124</v>
      </c>
      <c r="AV10" s="3"/>
      <c r="AW10" s="3"/>
      <c r="AX10" s="3"/>
    </row>
    <row r="11" ht="17.25">
      <c r="A11" s="5"/>
      <c r="B11" s="5"/>
      <c r="C11" s="3" t="s">
        <v>21</v>
      </c>
      <c r="D11" s="34" t="s">
        <v>30</v>
      </c>
      <c r="E11" s="6">
        <v>46146</v>
      </c>
      <c r="F11" s="3" t="s">
        <v>131</v>
      </c>
      <c r="G11" s="3" t="s">
        <v>29</v>
      </c>
      <c r="H11" s="3" t="s">
        <v>31</v>
      </c>
      <c r="I11" s="3" t="s">
        <v>132</v>
      </c>
      <c r="J11" s="3" t="s">
        <v>133</v>
      </c>
      <c r="K11" s="3"/>
      <c r="L11" s="3"/>
      <c r="M11" s="3" t="s">
        <v>134</v>
      </c>
      <c r="N11" s="3" t="s">
        <v>118</v>
      </c>
      <c r="O11" s="61" t="s">
        <v>25</v>
      </c>
      <c r="P11" s="66">
        <v>1000000</v>
      </c>
      <c r="Q11" s="66">
        <v>0</v>
      </c>
      <c r="R11" s="75">
        <v>1000000</v>
      </c>
      <c r="S11" s="75">
        <v>0</v>
      </c>
      <c r="T11" s="75">
        <v>0</v>
      </c>
      <c r="U11" s="75">
        <v>0</v>
      </c>
      <c r="V11" s="82">
        <v>0</v>
      </c>
      <c r="W11" s="75">
        <v>0</v>
      </c>
      <c r="X11" s="8">
        <v>0</v>
      </c>
      <c r="Y11" s="61"/>
      <c r="Z11" s="7">
        <v>0</v>
      </c>
      <c r="AA11" s="61"/>
      <c r="AB11" s="7">
        <v>0</v>
      </c>
      <c r="AC11" s="9"/>
      <c r="AD11" s="3" t="s">
        <v>119</v>
      </c>
      <c r="AE11" s="3"/>
      <c r="AF11" s="3"/>
      <c r="AG11" s="3"/>
      <c r="AH11" s="3"/>
      <c r="AI11" s="3"/>
      <c r="AJ11" s="3" t="s">
        <v>120</v>
      </c>
      <c r="AK11" s="3"/>
      <c r="AL11" s="3"/>
      <c r="AM11" s="10" t="s">
        <v>19</v>
      </c>
      <c r="AN11" s="11">
        <v/>
      </c>
      <c r="AO11" s="3"/>
      <c r="AP11" s="3"/>
      <c r="AQ11" s="3" t="s">
        <v>135</v>
      </c>
      <c r="AR11" s="12">
        <v>0</v>
      </c>
      <c r="AS11" s="3" t="s">
        <v>136</v>
      </c>
      <c r="AT11" s="3" t="s">
        <v>137</v>
      </c>
      <c r="AU11" s="3" t="s">
        <v>131</v>
      </c>
      <c r="AV11" s="3"/>
      <c r="AW11" s="3"/>
      <c r="AX11" s="3"/>
    </row>
    <row r="12" ht="17.25">
      <c r="A12" s="5"/>
      <c r="B12" s="5"/>
      <c r="C12" s="3" t="s">
        <v>21</v>
      </c>
      <c r="D12" s="34" t="s">
        <v>33</v>
      </c>
      <c r="E12" s="6">
        <v>46146</v>
      </c>
      <c r="F12" s="3" t="s">
        <v>138</v>
      </c>
      <c r="G12" s="3" t="s">
        <v>32</v>
      </c>
      <c r="H12" s="3" t="s">
        <v>34</v>
      </c>
      <c r="I12" s="3" t="s">
        <v>139</v>
      </c>
      <c r="J12" s="3" t="s">
        <v>140</v>
      </c>
      <c r="K12" s="3"/>
      <c r="L12" s="3"/>
      <c r="M12" s="3" t="s">
        <v>141</v>
      </c>
      <c r="N12" s="3" t="s">
        <v>118</v>
      </c>
      <c r="O12" s="61" t="s">
        <v>25</v>
      </c>
      <c r="P12" s="66">
        <v>500000</v>
      </c>
      <c r="Q12" s="66">
        <v>0</v>
      </c>
      <c r="R12" s="75">
        <v>500000</v>
      </c>
      <c r="S12" s="75">
        <v>0</v>
      </c>
      <c r="T12" s="75">
        <v>0</v>
      </c>
      <c r="U12" s="75">
        <v>0</v>
      </c>
      <c r="V12" s="82">
        <v>0</v>
      </c>
      <c r="W12" s="75">
        <v>0</v>
      </c>
      <c r="X12" s="8">
        <v>0</v>
      </c>
      <c r="Y12" s="61"/>
      <c r="Z12" s="7">
        <v>0</v>
      </c>
      <c r="AA12" s="61"/>
      <c r="AB12" s="7">
        <v>0</v>
      </c>
      <c r="AC12" s="9"/>
      <c r="AD12" s="3" t="s">
        <v>119</v>
      </c>
      <c r="AE12" s="3"/>
      <c r="AF12" s="3"/>
      <c r="AG12" s="3"/>
      <c r="AH12" s="3"/>
      <c r="AI12" s="3"/>
      <c r="AJ12" s="3" t="s">
        <v>120</v>
      </c>
      <c r="AK12" s="3"/>
      <c r="AL12" s="3"/>
      <c r="AM12" s="10" t="s">
        <v>19</v>
      </c>
      <c r="AN12" s="11">
        <v/>
      </c>
      <c r="AO12" s="3"/>
      <c r="AP12" s="3"/>
      <c r="AQ12" s="3" t="s">
        <v>142</v>
      </c>
      <c r="AR12" s="12">
        <v>0</v>
      </c>
      <c r="AS12" s="3" t="s">
        <v>143</v>
      </c>
      <c r="AT12" s="3" t="s">
        <v>144</v>
      </c>
      <c r="AU12" s="3" t="s">
        <v>138</v>
      </c>
      <c r="AV12" s="3"/>
      <c r="AW12" s="3"/>
      <c r="AX12" s="3"/>
    </row>
    <row r="13" ht="17.25">
      <c r="A13" s="5"/>
      <c r="B13" s="5"/>
      <c r="C13" s="3" t="s">
        <v>21</v>
      </c>
      <c r="D13" s="34" t="s">
        <v>36</v>
      </c>
      <c r="E13" s="6">
        <v>46146</v>
      </c>
      <c r="F13" s="3" t="s">
        <v>145</v>
      </c>
      <c r="G13" s="3" t="s">
        <v>32</v>
      </c>
      <c r="H13" s="3" t="s">
        <v>37</v>
      </c>
      <c r="I13" s="3" t="s">
        <v>139</v>
      </c>
      <c r="J13" s="3" t="s">
        <v>140</v>
      </c>
      <c r="K13" s="3"/>
      <c r="L13" s="3"/>
      <c r="M13" s="3" t="s">
        <v>141</v>
      </c>
      <c r="N13" s="3" t="s">
        <v>118</v>
      </c>
      <c r="O13" s="61" t="s">
        <v>25</v>
      </c>
      <c r="P13" s="66">
        <v>7700000</v>
      </c>
      <c r="Q13" s="66">
        <v>0</v>
      </c>
      <c r="R13" s="75">
        <v>7700000</v>
      </c>
      <c r="S13" s="75">
        <v>0</v>
      </c>
      <c r="T13" s="75">
        <v>0</v>
      </c>
      <c r="U13" s="75">
        <v>0</v>
      </c>
      <c r="V13" s="82">
        <v>0</v>
      </c>
      <c r="W13" s="75">
        <v>0</v>
      </c>
      <c r="X13" s="8">
        <v>0</v>
      </c>
      <c r="Y13" s="61"/>
      <c r="Z13" s="7">
        <v>0</v>
      </c>
      <c r="AA13" s="61"/>
      <c r="AB13" s="7">
        <v>0</v>
      </c>
      <c r="AC13" s="9"/>
      <c r="AD13" s="3" t="s">
        <v>119</v>
      </c>
      <c r="AE13" s="3"/>
      <c r="AF13" s="3"/>
      <c r="AG13" s="3"/>
      <c r="AH13" s="3"/>
      <c r="AI13" s="3"/>
      <c r="AJ13" s="3" t="s">
        <v>120</v>
      </c>
      <c r="AK13" s="3"/>
      <c r="AL13" s="3"/>
      <c r="AM13" s="10" t="s">
        <v>19</v>
      </c>
      <c r="AN13" s="11">
        <v/>
      </c>
      <c r="AO13" s="3"/>
      <c r="AP13" s="3"/>
      <c r="AQ13" s="3" t="s">
        <v>146</v>
      </c>
      <c r="AR13" s="12">
        <v>0</v>
      </c>
      <c r="AS13" s="3" t="s">
        <v>147</v>
      </c>
      <c r="AT13" s="3" t="s">
        <v>148</v>
      </c>
      <c r="AU13" s="3" t="s">
        <v>145</v>
      </c>
      <c r="AV13" s="3"/>
      <c r="AW13" s="3"/>
      <c r="AX13" s="3"/>
    </row>
    <row r="14" ht="17.25">
      <c r="A14" s="5"/>
      <c r="B14" s="5"/>
      <c r="C14" s="3" t="s">
        <v>21</v>
      </c>
      <c r="D14" s="34" t="s">
        <v>40</v>
      </c>
      <c r="E14" s="6">
        <v>46147</v>
      </c>
      <c r="F14" s="3" t="s">
        <v>149</v>
      </c>
      <c r="G14" s="3" t="s">
        <v>39</v>
      </c>
      <c r="H14" s="3" t="s">
        <v>41</v>
      </c>
      <c r="I14" s="3" t="s">
        <v>150</v>
      </c>
      <c r="J14" s="3" t="s">
        <v>151</v>
      </c>
      <c r="K14" s="3"/>
      <c r="L14" s="3"/>
      <c r="M14" s="3" t="s">
        <v>152</v>
      </c>
      <c r="N14" s="3" t="s">
        <v>118</v>
      </c>
      <c r="O14" s="61" t="s">
        <v>25</v>
      </c>
      <c r="P14" s="66">
        <v>6900000</v>
      </c>
      <c r="Q14" s="66">
        <v>0</v>
      </c>
      <c r="R14" s="75">
        <v>6900000</v>
      </c>
      <c r="S14" s="75">
        <v>0</v>
      </c>
      <c r="T14" s="75">
        <v>0</v>
      </c>
      <c r="U14" s="75">
        <v>0</v>
      </c>
      <c r="V14" s="82">
        <v>0</v>
      </c>
      <c r="W14" s="75">
        <v>0</v>
      </c>
      <c r="X14" s="8">
        <v>0</v>
      </c>
      <c r="Y14" s="61"/>
      <c r="Z14" s="7">
        <v>0</v>
      </c>
      <c r="AA14" s="61"/>
      <c r="AB14" s="7">
        <v>0</v>
      </c>
      <c r="AC14" s="9"/>
      <c r="AD14" s="3" t="s">
        <v>119</v>
      </c>
      <c r="AE14" s="3"/>
      <c r="AF14" s="3"/>
      <c r="AG14" s="3"/>
      <c r="AH14" s="3"/>
      <c r="AI14" s="3"/>
      <c r="AJ14" s="3" t="s">
        <v>120</v>
      </c>
      <c r="AK14" s="3"/>
      <c r="AL14" s="3"/>
      <c r="AM14" s="10" t="s">
        <v>19</v>
      </c>
      <c r="AN14" s="11">
        <v/>
      </c>
      <c r="AO14" s="3"/>
      <c r="AP14" s="3"/>
      <c r="AQ14" s="3" t="s">
        <v>153</v>
      </c>
      <c r="AR14" s="12">
        <v>0</v>
      </c>
      <c r="AS14" s="3" t="s">
        <v>154</v>
      </c>
      <c r="AT14" s="3" t="s">
        <v>155</v>
      </c>
      <c r="AU14" s="3" t="s">
        <v>149</v>
      </c>
      <c r="AV14" s="3"/>
      <c r="AW14" s="3"/>
      <c r="AX14" s="3"/>
    </row>
    <row r="15" ht="17.25">
      <c r="A15" s="5"/>
      <c r="B15" s="5"/>
      <c r="C15" s="3" t="s">
        <v>21</v>
      </c>
      <c r="D15" s="34" t="s">
        <v>43</v>
      </c>
      <c r="E15" s="6">
        <v>46148</v>
      </c>
      <c r="F15" s="3" t="s">
        <v>156</v>
      </c>
      <c r="G15" s="3" t="s">
        <v>42</v>
      </c>
      <c r="H15" s="3" t="s">
        <v>44</v>
      </c>
      <c r="I15" s="3" t="s">
        <v>157</v>
      </c>
      <c r="J15" s="3" t="s">
        <v>158</v>
      </c>
      <c r="K15" s="3"/>
      <c r="L15" s="3"/>
      <c r="M15" s="3" t="s">
        <v>159</v>
      </c>
      <c r="N15" s="3" t="s">
        <v>118</v>
      </c>
      <c r="O15" s="61" t="s">
        <v>25</v>
      </c>
      <c r="P15" s="66">
        <v>300000</v>
      </c>
      <c r="Q15" s="66">
        <v>0</v>
      </c>
      <c r="R15" s="75">
        <v>300000</v>
      </c>
      <c r="S15" s="75">
        <v>0</v>
      </c>
      <c r="T15" s="75">
        <v>0</v>
      </c>
      <c r="U15" s="75">
        <v>0</v>
      </c>
      <c r="V15" s="82">
        <v>0</v>
      </c>
      <c r="W15" s="75">
        <v>0</v>
      </c>
      <c r="X15" s="8">
        <v>0</v>
      </c>
      <c r="Y15" s="61"/>
      <c r="Z15" s="7">
        <v>0</v>
      </c>
      <c r="AA15" s="61"/>
      <c r="AB15" s="7">
        <v>0</v>
      </c>
      <c r="AC15" s="9"/>
      <c r="AD15" s="3" t="s">
        <v>119</v>
      </c>
      <c r="AE15" s="3"/>
      <c r="AF15" s="3"/>
      <c r="AG15" s="3"/>
      <c r="AH15" s="3"/>
      <c r="AI15" s="3"/>
      <c r="AJ15" s="3" t="s">
        <v>120</v>
      </c>
      <c r="AK15" s="3"/>
      <c r="AL15" s="3"/>
      <c r="AM15" s="10" t="s">
        <v>19</v>
      </c>
      <c r="AN15" s="11">
        <v/>
      </c>
      <c r="AO15" s="3"/>
      <c r="AP15" s="3"/>
      <c r="AQ15" s="3" t="s">
        <v>160</v>
      </c>
      <c r="AR15" s="12">
        <v>0</v>
      </c>
      <c r="AS15" s="3" t="s">
        <v>161</v>
      </c>
      <c r="AT15" s="3" t="s">
        <v>162</v>
      </c>
      <c r="AU15" s="3" t="s">
        <v>156</v>
      </c>
      <c r="AV15" s="3"/>
      <c r="AW15" s="3"/>
      <c r="AX15" s="3"/>
    </row>
    <row r="16" ht="17.25">
      <c r="A16" s="5"/>
      <c r="B16" s="5"/>
      <c r="C16" s="3" t="s">
        <v>21</v>
      </c>
      <c r="D16" s="34" t="s">
        <v>46</v>
      </c>
      <c r="E16" s="6">
        <v>46148</v>
      </c>
      <c r="F16" s="3" t="s">
        <v>163</v>
      </c>
      <c r="G16" s="3" t="s">
        <v>45</v>
      </c>
      <c r="H16" s="3" t="s">
        <v>47</v>
      </c>
      <c r="I16" s="3" t="s">
        <v>164</v>
      </c>
      <c r="J16" s="3" t="s">
        <v>165</v>
      </c>
      <c r="K16" s="3"/>
      <c r="L16" s="3"/>
      <c r="M16" s="3" t="s">
        <v>166</v>
      </c>
      <c r="N16" s="3" t="s">
        <v>118</v>
      </c>
      <c r="O16" s="61" t="s">
        <v>25</v>
      </c>
      <c r="P16" s="66">
        <v>800000</v>
      </c>
      <c r="Q16" s="66">
        <v>0</v>
      </c>
      <c r="R16" s="75">
        <v>800000</v>
      </c>
      <c r="S16" s="75">
        <v>0</v>
      </c>
      <c r="T16" s="75">
        <v>0</v>
      </c>
      <c r="U16" s="75">
        <v>0</v>
      </c>
      <c r="V16" s="82">
        <v>0</v>
      </c>
      <c r="W16" s="75">
        <v>0</v>
      </c>
      <c r="X16" s="8">
        <v>0</v>
      </c>
      <c r="Y16" s="61"/>
      <c r="Z16" s="7">
        <v>0</v>
      </c>
      <c r="AA16" s="61"/>
      <c r="AB16" s="7">
        <v>0</v>
      </c>
      <c r="AC16" s="9"/>
      <c r="AD16" s="3" t="s">
        <v>119</v>
      </c>
      <c r="AE16" s="3"/>
      <c r="AF16" s="3"/>
      <c r="AG16" s="3"/>
      <c r="AH16" s="3"/>
      <c r="AI16" s="3"/>
      <c r="AJ16" s="3" t="s">
        <v>120</v>
      </c>
      <c r="AK16" s="3"/>
      <c r="AL16" s="3"/>
      <c r="AM16" s="10" t="s">
        <v>19</v>
      </c>
      <c r="AN16" s="11">
        <v/>
      </c>
      <c r="AO16" s="3"/>
      <c r="AP16" s="3"/>
      <c r="AQ16" s="3" t="s">
        <v>167</v>
      </c>
      <c r="AR16" s="12">
        <v>0</v>
      </c>
      <c r="AS16" s="3" t="s">
        <v>168</v>
      </c>
      <c r="AT16" s="3" t="s">
        <v>169</v>
      </c>
      <c r="AU16" s="3" t="s">
        <v>163</v>
      </c>
      <c r="AV16" s="3"/>
      <c r="AW16" s="3"/>
      <c r="AX16" s="3"/>
    </row>
    <row r="17" ht="17.25">
      <c r="A17" s="5"/>
      <c r="B17" s="5"/>
      <c r="C17" s="3" t="s">
        <v>21</v>
      </c>
      <c r="D17" s="34" t="s">
        <v>49</v>
      </c>
      <c r="E17" s="6">
        <v>46150</v>
      </c>
      <c r="F17" s="3" t="s">
        <v>170</v>
      </c>
      <c r="G17" s="3" t="s">
        <v>48</v>
      </c>
      <c r="H17" s="3" t="s">
        <v>50</v>
      </c>
      <c r="I17" s="3" t="s">
        <v>171</v>
      </c>
      <c r="J17" s="3" t="s">
        <v>172</v>
      </c>
      <c r="K17" s="3"/>
      <c r="L17" s="3"/>
      <c r="M17" s="3" t="s">
        <v>173</v>
      </c>
      <c r="N17" s="3" t="s">
        <v>118</v>
      </c>
      <c r="O17" s="61" t="s">
        <v>25</v>
      </c>
      <c r="P17" s="66">
        <v>23460000</v>
      </c>
      <c r="Q17" s="66">
        <v>0</v>
      </c>
      <c r="R17" s="75">
        <v>23460000</v>
      </c>
      <c r="S17" s="75">
        <v>0</v>
      </c>
      <c r="T17" s="75">
        <v>0</v>
      </c>
      <c r="U17" s="75">
        <v>0</v>
      </c>
      <c r="V17" s="82">
        <v>0</v>
      </c>
      <c r="W17" s="75">
        <v>0</v>
      </c>
      <c r="X17" s="8">
        <v>0</v>
      </c>
      <c r="Y17" s="61"/>
      <c r="Z17" s="7">
        <v>0</v>
      </c>
      <c r="AA17" s="61"/>
      <c r="AB17" s="7">
        <v>0</v>
      </c>
      <c r="AC17" s="9"/>
      <c r="AD17" s="3" t="s">
        <v>119</v>
      </c>
      <c r="AE17" s="3"/>
      <c r="AF17" s="3"/>
      <c r="AG17" s="3"/>
      <c r="AH17" s="3"/>
      <c r="AI17" s="3"/>
      <c r="AJ17" s="3" t="s">
        <v>120</v>
      </c>
      <c r="AK17" s="3"/>
      <c r="AL17" s="3"/>
      <c r="AM17" s="10" t="s">
        <v>19</v>
      </c>
      <c r="AN17" s="11">
        <v/>
      </c>
      <c r="AO17" s="3"/>
      <c r="AP17" s="3"/>
      <c r="AQ17" s="3" t="s">
        <v>174</v>
      </c>
      <c r="AR17" s="12">
        <v>0</v>
      </c>
      <c r="AS17" s="3" t="s">
        <v>175</v>
      </c>
      <c r="AT17" s="3" t="s">
        <v>176</v>
      </c>
      <c r="AU17" s="3" t="s">
        <v>170</v>
      </c>
      <c r="AV17" s="3"/>
      <c r="AW17" s="3"/>
      <c r="AX17" s="3"/>
    </row>
    <row r="18" ht="17.25">
      <c r="A18" s="5"/>
      <c r="B18" s="5"/>
      <c r="C18" s="3" t="s">
        <v>21</v>
      </c>
      <c r="D18" s="34" t="s">
        <v>53</v>
      </c>
      <c r="E18" s="6">
        <v>46150</v>
      </c>
      <c r="F18" s="3" t="s">
        <v>177</v>
      </c>
      <c r="G18" s="3" t="s">
        <v>52</v>
      </c>
      <c r="H18" s="3" t="s">
        <v>54</v>
      </c>
      <c r="I18" s="3" t="s">
        <v>178</v>
      </c>
      <c r="J18" s="3" t="s">
        <v>179</v>
      </c>
      <c r="K18" s="3"/>
      <c r="L18" s="3"/>
      <c r="M18" s="3" t="s">
        <v>180</v>
      </c>
      <c r="N18" s="3" t="s">
        <v>118</v>
      </c>
      <c r="O18" s="61" t="s">
        <v>25</v>
      </c>
      <c r="P18" s="66">
        <v>22950000</v>
      </c>
      <c r="Q18" s="66">
        <v>0</v>
      </c>
      <c r="R18" s="75">
        <v>22950000</v>
      </c>
      <c r="S18" s="75">
        <v>0</v>
      </c>
      <c r="T18" s="75">
        <v>0</v>
      </c>
      <c r="U18" s="75">
        <v>0</v>
      </c>
      <c r="V18" s="82">
        <v>0</v>
      </c>
      <c r="W18" s="75">
        <v>0</v>
      </c>
      <c r="X18" s="8">
        <v>0</v>
      </c>
      <c r="Y18" s="61"/>
      <c r="Z18" s="7">
        <v>0</v>
      </c>
      <c r="AA18" s="61"/>
      <c r="AB18" s="7">
        <v>0</v>
      </c>
      <c r="AC18" s="9"/>
      <c r="AD18" s="3" t="s">
        <v>119</v>
      </c>
      <c r="AE18" s="3"/>
      <c r="AF18" s="3"/>
      <c r="AG18" s="3"/>
      <c r="AH18" s="3"/>
      <c r="AI18" s="3"/>
      <c r="AJ18" s="3" t="s">
        <v>120</v>
      </c>
      <c r="AK18" s="3"/>
      <c r="AL18" s="3"/>
      <c r="AM18" s="10" t="s">
        <v>19</v>
      </c>
      <c r="AN18" s="11">
        <v/>
      </c>
      <c r="AO18" s="3"/>
      <c r="AP18" s="3"/>
      <c r="AQ18" s="3" t="s">
        <v>181</v>
      </c>
      <c r="AR18" s="12">
        <v>0</v>
      </c>
      <c r="AS18" s="3" t="s">
        <v>182</v>
      </c>
      <c r="AT18" s="3" t="s">
        <v>183</v>
      </c>
      <c r="AU18" s="3" t="s">
        <v>177</v>
      </c>
      <c r="AV18" s="3"/>
      <c r="AW18" s="3"/>
      <c r="AX18" s="3"/>
    </row>
    <row r="19" ht="17.25">
      <c r="A19" s="5"/>
      <c r="B19" s="5"/>
      <c r="C19" s="3" t="s">
        <v>21</v>
      </c>
      <c r="D19" s="34" t="s">
        <v>56</v>
      </c>
      <c r="E19" s="6">
        <v>46150</v>
      </c>
      <c r="F19" s="3" t="s">
        <v>184</v>
      </c>
      <c r="G19" s="3" t="s">
        <v>55</v>
      </c>
      <c r="H19" s="3" t="s">
        <v>57</v>
      </c>
      <c r="I19" s="3" t="s">
        <v>185</v>
      </c>
      <c r="J19" s="3" t="s">
        <v>186</v>
      </c>
      <c r="K19" s="3"/>
      <c r="L19" s="3"/>
      <c r="M19" s="3" t="s">
        <v>187</v>
      </c>
      <c r="N19" s="3" t="s">
        <v>118</v>
      </c>
      <c r="O19" s="61" t="s">
        <v>25</v>
      </c>
      <c r="P19" s="66">
        <v>23460000</v>
      </c>
      <c r="Q19" s="66">
        <v>0</v>
      </c>
      <c r="R19" s="75">
        <v>23460000</v>
      </c>
      <c r="S19" s="75">
        <v>0</v>
      </c>
      <c r="T19" s="75">
        <v>0</v>
      </c>
      <c r="U19" s="75">
        <v>0</v>
      </c>
      <c r="V19" s="82">
        <v>0</v>
      </c>
      <c r="W19" s="75">
        <v>0</v>
      </c>
      <c r="X19" s="8">
        <v>0</v>
      </c>
      <c r="Y19" s="61"/>
      <c r="Z19" s="7">
        <v>0</v>
      </c>
      <c r="AA19" s="61"/>
      <c r="AB19" s="7">
        <v>0</v>
      </c>
      <c r="AC19" s="9"/>
      <c r="AD19" s="3" t="s">
        <v>119</v>
      </c>
      <c r="AE19" s="3"/>
      <c r="AF19" s="3"/>
      <c r="AG19" s="3"/>
      <c r="AH19" s="3"/>
      <c r="AI19" s="3"/>
      <c r="AJ19" s="3" t="s">
        <v>120</v>
      </c>
      <c r="AK19" s="3"/>
      <c r="AL19" s="3"/>
      <c r="AM19" s="10" t="s">
        <v>19</v>
      </c>
      <c r="AN19" s="11">
        <v/>
      </c>
      <c r="AO19" s="3"/>
      <c r="AP19" s="3"/>
      <c r="AQ19" s="3" t="s">
        <v>188</v>
      </c>
      <c r="AR19" s="12">
        <v>0</v>
      </c>
      <c r="AS19" s="3" t="s">
        <v>189</v>
      </c>
      <c r="AT19" s="3" t="s">
        <v>190</v>
      </c>
      <c r="AU19" s="3" t="s">
        <v>184</v>
      </c>
      <c r="AV19" s="3"/>
      <c r="AW19" s="3"/>
      <c r="AX19" s="3"/>
    </row>
    <row r="20" ht="17.25">
      <c r="A20" s="5"/>
      <c r="B20" s="5"/>
      <c r="C20" s="3" t="s">
        <v>21</v>
      </c>
      <c r="D20" s="34" t="s">
        <v>59</v>
      </c>
      <c r="E20" s="6">
        <v>46150</v>
      </c>
      <c r="F20" s="3" t="s">
        <v>191</v>
      </c>
      <c r="G20" s="3" t="s">
        <v>58</v>
      </c>
      <c r="H20" s="3" t="s">
        <v>60</v>
      </c>
      <c r="I20" s="3" t="s">
        <v>192</v>
      </c>
      <c r="J20" s="3" t="s">
        <v>193</v>
      </c>
      <c r="K20" s="3"/>
      <c r="L20" s="3"/>
      <c r="M20" s="3" t="s">
        <v>194</v>
      </c>
      <c r="N20" s="3" t="s">
        <v>118</v>
      </c>
      <c r="O20" s="61" t="s">
        <v>25</v>
      </c>
      <c r="P20" s="66">
        <v>1350000</v>
      </c>
      <c r="Q20" s="66">
        <v>0</v>
      </c>
      <c r="R20" s="75">
        <v>1350000</v>
      </c>
      <c r="S20" s="75">
        <v>0</v>
      </c>
      <c r="T20" s="75">
        <v>0</v>
      </c>
      <c r="U20" s="75">
        <v>0</v>
      </c>
      <c r="V20" s="82">
        <v>0</v>
      </c>
      <c r="W20" s="75">
        <v>0</v>
      </c>
      <c r="X20" s="8">
        <v>0</v>
      </c>
      <c r="Y20" s="61"/>
      <c r="Z20" s="7">
        <v>0</v>
      </c>
      <c r="AA20" s="61"/>
      <c r="AB20" s="7">
        <v>0</v>
      </c>
      <c r="AC20" s="9"/>
      <c r="AD20" s="3" t="s">
        <v>119</v>
      </c>
      <c r="AE20" s="3"/>
      <c r="AF20" s="3"/>
      <c r="AG20" s="3"/>
      <c r="AH20" s="3"/>
      <c r="AI20" s="3"/>
      <c r="AJ20" s="3" t="s">
        <v>120</v>
      </c>
      <c r="AK20" s="3"/>
      <c r="AL20" s="3"/>
      <c r="AM20" s="10" t="s">
        <v>19</v>
      </c>
      <c r="AN20" s="11">
        <v/>
      </c>
      <c r="AO20" s="3"/>
      <c r="AP20" s="3"/>
      <c r="AQ20" s="3" t="s">
        <v>195</v>
      </c>
      <c r="AR20" s="12">
        <v>0</v>
      </c>
      <c r="AS20" s="3" t="s">
        <v>196</v>
      </c>
      <c r="AT20" s="3" t="s">
        <v>197</v>
      </c>
      <c r="AU20" s="3" t="s">
        <v>191</v>
      </c>
      <c r="AV20" s="3"/>
      <c r="AW20" s="3"/>
      <c r="AX20" s="3"/>
    </row>
    <row r="21" ht="17.25">
      <c r="A21" s="5"/>
      <c r="B21" s="5"/>
      <c r="C21" s="3" t="s">
        <v>21</v>
      </c>
      <c r="D21" s="34" t="s">
        <v>63</v>
      </c>
      <c r="E21" s="6">
        <v>46150</v>
      </c>
      <c r="F21" s="3" t="s">
        <v>198</v>
      </c>
      <c r="G21" s="3" t="s">
        <v>62</v>
      </c>
      <c r="H21" s="3" t="s">
        <v>64</v>
      </c>
      <c r="I21" s="3" t="s">
        <v>199</v>
      </c>
      <c r="J21" s="3" t="s">
        <v>200</v>
      </c>
      <c r="K21" s="3"/>
      <c r="L21" s="3"/>
      <c r="M21" s="3" t="s">
        <v>201</v>
      </c>
      <c r="N21" s="3" t="s">
        <v>118</v>
      </c>
      <c r="O21" s="61" t="s">
        <v>25</v>
      </c>
      <c r="P21" s="66">
        <v>300000</v>
      </c>
      <c r="Q21" s="66">
        <v>0</v>
      </c>
      <c r="R21" s="75">
        <v>300000</v>
      </c>
      <c r="S21" s="75">
        <v>0</v>
      </c>
      <c r="T21" s="75">
        <v>0</v>
      </c>
      <c r="U21" s="75">
        <v>0</v>
      </c>
      <c r="V21" s="82">
        <v>0</v>
      </c>
      <c r="W21" s="75">
        <v>0</v>
      </c>
      <c r="X21" s="8">
        <v>0</v>
      </c>
      <c r="Y21" s="61"/>
      <c r="Z21" s="7">
        <v>0</v>
      </c>
      <c r="AA21" s="61"/>
      <c r="AB21" s="7">
        <v>0</v>
      </c>
      <c r="AC21" s="9"/>
      <c r="AD21" s="3" t="s">
        <v>119</v>
      </c>
      <c r="AE21" s="3"/>
      <c r="AF21" s="3"/>
      <c r="AG21" s="3"/>
      <c r="AH21" s="3"/>
      <c r="AI21" s="3"/>
      <c r="AJ21" s="3" t="s">
        <v>120</v>
      </c>
      <c r="AK21" s="3"/>
      <c r="AL21" s="3"/>
      <c r="AM21" s="10" t="s">
        <v>19</v>
      </c>
      <c r="AN21" s="11">
        <v/>
      </c>
      <c r="AO21" s="3"/>
      <c r="AP21" s="3"/>
      <c r="AQ21" s="3" t="s">
        <v>202</v>
      </c>
      <c r="AR21" s="12">
        <v>0</v>
      </c>
      <c r="AS21" s="3" t="s">
        <v>203</v>
      </c>
      <c r="AT21" s="3" t="s">
        <v>204</v>
      </c>
      <c r="AU21" s="3" t="s">
        <v>198</v>
      </c>
      <c r="AV21" s="3"/>
      <c r="AW21" s="3"/>
      <c r="AX21" s="3"/>
    </row>
    <row r="22" ht="0.75">
      <c r="A22" s="5"/>
      <c r="B22" s="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62"/>
      <c r="P22" s="67"/>
      <c r="Q22" s="67"/>
      <c r="R22" s="76"/>
      <c r="S22" s="76"/>
      <c r="T22" s="76"/>
      <c r="U22" s="76"/>
      <c r="V22" s="67"/>
      <c r="W22" s="76"/>
      <c r="X22" s="14"/>
      <c r="Y22" s="67"/>
      <c r="Z22" s="14"/>
      <c r="AA22" s="67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5"/>
      <c r="AT22" s="15"/>
      <c r="AU22" s="15"/>
      <c r="AV22" s="15"/>
      <c r="AW22" s="15"/>
      <c r="AX22" s="15"/>
    </row>
    <row r="23" ht="14.25">
      <c r="A23" s="5"/>
      <c r="B23" s="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63"/>
      <c r="P23" s="68">
        <v>92133800</v>
      </c>
      <c r="Q23" s="68">
        <v>0</v>
      </c>
      <c r="R23" s="77">
        <v>92133800</v>
      </c>
      <c r="S23" s="80">
        <v>0</v>
      </c>
      <c r="T23" s="80">
        <v>0</v>
      </c>
      <c r="U23" s="80">
        <v>0</v>
      </c>
      <c r="V23" s="83"/>
      <c r="W23" s="85"/>
      <c r="X23" s="18">
        <v>0</v>
      </c>
      <c r="Y23" s="83"/>
      <c r="Z23" s="17">
        <v>0</v>
      </c>
      <c r="AA23" s="83"/>
      <c r="AB23" s="17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7">
        <v>0</v>
      </c>
      <c r="AS23" s="20"/>
      <c r="AT23" s="20"/>
      <c r="AU23" s="20"/>
      <c r="AV23" s="20"/>
      <c r="AW23" s="20"/>
      <c r="AX23" s="20"/>
    </row>
    <row r="24" ht="0.75">
      <c r="A24" s="5"/>
      <c r="B24" s="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64"/>
      <c r="P24" s="69"/>
      <c r="Q24" s="69"/>
      <c r="R24" s="78"/>
      <c r="S24" s="78"/>
      <c r="T24" s="78"/>
      <c r="U24" s="78"/>
      <c r="V24" s="69"/>
      <c r="W24" s="78"/>
      <c r="X24" s="22"/>
      <c r="Y24" s="69"/>
      <c r="Z24" s="22"/>
      <c r="AA24" s="69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3"/>
      <c r="AT24" s="23"/>
      <c r="AU24" s="23"/>
      <c r="AV24" s="23"/>
      <c r="AW24" s="23"/>
      <c r="AX24" s="23"/>
    </row>
    <row r="25" ht="14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65"/>
      <c r="P25" s="70">
        <v>92133800</v>
      </c>
      <c r="Q25" s="70">
        <v>0</v>
      </c>
      <c r="R25" s="79">
        <v>92133800</v>
      </c>
      <c r="S25" s="81">
        <v>0</v>
      </c>
      <c r="T25" s="81">
        <v>0</v>
      </c>
      <c r="U25" s="81">
        <v>0</v>
      </c>
      <c r="V25" s="84"/>
      <c r="W25" s="86"/>
      <c r="X25" s="26">
        <v>0</v>
      </c>
      <c r="Y25" s="84"/>
      <c r="Z25" s="25">
        <v>0</v>
      </c>
      <c r="AA25" s="84"/>
      <c r="AB25" s="25">
        <v>0</v>
      </c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5">
        <v>0</v>
      </c>
      <c r="AS25" s="28"/>
      <c r="AT25" s="28"/>
      <c r="AU25" s="28"/>
      <c r="AV25" s="28"/>
      <c r="AW25" s="28"/>
      <c r="AX25" s="28"/>
    </row>
    <row r="26" ht="15" customHeight="1">
      <c r="F26" s="29" t="s">
        <v>19</v>
      </c>
    </row>
    <row r="30" ht="30" customHeight="1">
      <c r="A30" s="55" t="s">
        <v>65</v>
      </c>
      <c r="X30" s="55" t="s">
        <v>66</v>
      </c>
      <c r="AU30" s="55" t="s">
        <v>67</v>
      </c>
    </row>
    <row r="35">
      <c r="A35" s="56" t="s">
        <v>68</v>
      </c>
      <c r="X35" s="56" t="s">
        <v>69</v>
      </c>
      <c r="AU35" s="56" t="s">
        <v>70</v>
      </c>
    </row>
  </sheetData>
  <mergeCells>
    <mergeCell ref="A6:C6"/>
    <mergeCell ref="A7:AX7"/>
    <mergeCell ref="A25:O25"/>
    <mergeCell ref="B8:AX8"/>
    <mergeCell ref="C22:O22"/>
    <mergeCell ref="C23:O23"/>
    <mergeCell ref="C24:O24"/>
    <mergeCell ref="V22:W22"/>
    <mergeCell ref="V23:W23"/>
    <mergeCell ref="V24:W24"/>
    <mergeCell ref="V25:W25"/>
    <mergeCell ref="AC22:AQ22"/>
    <mergeCell ref="AC23:AQ23"/>
    <mergeCell ref="AC24:AQ24"/>
    <mergeCell ref="AC25:AQ25"/>
    <mergeCell ref="AS22:AX22"/>
    <mergeCell ref="AS23:AX23"/>
    <mergeCell ref="AS24:AX24"/>
    <mergeCell ref="AS25:AX25"/>
    <mergeCell ref="A1:Z1"/>
    <mergeCell ref="A3:AX3"/>
    <mergeCell ref="A4:AX4"/>
    <mergeCell ref="A5:B5"/>
    <mergeCell ref="A30:D30"/>
    <mergeCell ref="A35:D35"/>
    <mergeCell ref="X30:Z30"/>
    <mergeCell ref="X35:Z35"/>
    <mergeCell ref="AU30:AW30"/>
    <mergeCell ref="AU35:AW35"/>
  </mergeCells>
  <hyperlinks>
    <hyperlink ref="D9" location="#'DETAIL'!B7" tooltip="Chi tiết: 237"/>
    <hyperlink ref="D10" location="#'DETAIL'!B9" tooltip="Chi tiết: 238"/>
    <hyperlink ref="D11" location="#'DETAIL'!B11" tooltip="Chi tiết: 239"/>
    <hyperlink ref="D12" location="#'DETAIL'!B13" tooltip="Chi tiết: 240"/>
    <hyperlink ref="D13" location="#'DETAIL'!B15" tooltip="Chi tiết: 241"/>
    <hyperlink ref="D14" location="#'DETAIL'!B18" tooltip="Chi tiết: 242"/>
    <hyperlink ref="D15" location="#'DETAIL'!B20" tooltip="Chi tiết: 243"/>
    <hyperlink ref="D16" location="#'DETAIL'!B22" tooltip="Chi tiết: 244"/>
    <hyperlink ref="D17" location="#'DETAIL'!B24" tooltip="Chi tiết: 245"/>
    <hyperlink ref="D18" location="#'DETAIL'!B26" tooltip="Chi tiết: 246"/>
    <hyperlink ref="D19" location="#'DETAIL'!B28" tooltip="Chi tiết: 247"/>
    <hyperlink ref="D20" location="#'DETAIL'!B30" tooltip="Chi tiết: 248"/>
    <hyperlink ref="D21" location="#'DETAIL'!B33" tooltip="Chi tiết: 249"/>
  </hyperlinks>
  <pageMargins left="0.2777778" right="0.2777778" top="0.7480" bottom="0.7480" header="0.315" footer="0.315"/>
  <pageSetup orientation="landscape" paperSize="9" scale="55"/>
  <headerFooter differentOddEven="1">
    <evenFooter>&amp;C&amp;P/&amp;N</even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Q48"/>
  <sheetViews>
    <sheetView workbookViewId="0" showGridLines="0"/>
  </sheetViews>
  <sheetFormatPr defaultRowHeight="15"/>
  <cols>
    <col min="1" max="1" width="16.71" customWidth="1" style="1"/>
    <col min="2" max="2" width="20.71" customWidth="1" style="1"/>
    <col min="3" max="3" width="5.71" customWidth="1" style="1"/>
    <col min="4" max="4" width="20.71" customWidth="1" style="1"/>
    <col min="5" max="5" width="11.71" customWidth="1" style="1"/>
    <col min="6" max="6" width="14.71" customWidth="1" style="1"/>
    <col min="7" max="7" width="20.71" customWidth="1" style="1"/>
    <col min="8" max="8" width="30.71" customWidth="1" style="1"/>
    <col min="9" max="9" width="11.71" customWidth="1" style="1"/>
    <col min="10" max="10" width="11.71" customWidth="1" style="1"/>
    <col min="11" max="11" width="18.71" customWidth="1" style="1"/>
    <col min="12" max="12" width="18.71" customWidth="1" style="1"/>
    <col min="13" max="13" width="16.71" customWidth="1" style="1"/>
    <col min="14" max="14" width="18.71" customWidth="1" style="1"/>
    <col min="15" max="15" width="18.71" customWidth="1" style="1"/>
    <col min="16" max="16" width="18.71" customWidth="1" style="1"/>
  </cols>
  <sheetData>
    <row r="1" ht="42" customHeight="1">
      <c r="A1" s="30" t="s">
        <v>0</v>
      </c>
    </row>
    <row r="3" ht="2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6" ht="27" customHeight="1">
      <c r="A6" s="33" t="s">
        <v>2</v>
      </c>
      <c r="B6" s="33" t="s">
        <v>3</v>
      </c>
      <c r="C6" s="33" t="s">
        <v>4</v>
      </c>
      <c r="D6" s="33" t="s">
        <v>5</v>
      </c>
      <c r="E6" s="33" t="s">
        <v>6</v>
      </c>
      <c r="F6" s="33" t="s">
        <v>7</v>
      </c>
      <c r="G6" s="33" t="s">
        <v>8</v>
      </c>
      <c r="H6" s="33" t="s">
        <v>9</v>
      </c>
      <c r="I6" s="33" t="s">
        <v>10</v>
      </c>
      <c r="J6" s="33" t="s">
        <v>11</v>
      </c>
      <c r="K6" s="33" t="s">
        <v>12</v>
      </c>
      <c r="L6" s="33" t="s">
        <v>13</v>
      </c>
      <c r="M6" s="33" t="s">
        <v>14</v>
      </c>
      <c r="N6" s="33" t="s">
        <v>15</v>
      </c>
      <c r="O6" s="33" t="s">
        <v>16</v>
      </c>
      <c r="P6" s="33" t="s">
        <v>17</v>
      </c>
      <c r="Q6" s="33" t="s">
        <v>18</v>
      </c>
    </row>
    <row r="7">
      <c r="A7" s="41" t="s">
        <v>19</v>
      </c>
      <c r="B7" s="42" t="s">
        <v>20</v>
      </c>
      <c r="C7" s="45">
        <v>1</v>
      </c>
      <c r="D7" s="43" t="s">
        <v>21</v>
      </c>
      <c r="E7" s="46" t="s">
        <v>22</v>
      </c>
      <c r="F7" s="47">
        <v>46146</v>
      </c>
      <c r="G7" s="43" t="s">
        <v>19</v>
      </c>
      <c r="H7" s="43" t="s">
        <v>23</v>
      </c>
      <c r="I7" s="45" t="s">
        <v>24</v>
      </c>
      <c r="J7" s="49">
        <v>1</v>
      </c>
      <c r="K7" s="50">
        <v>1163800</v>
      </c>
      <c r="L7" s="50">
        <v>1163800</v>
      </c>
      <c r="M7" s="51" t="s">
        <v>25</v>
      </c>
      <c r="N7" s="49">
        <v>0</v>
      </c>
      <c r="O7" s="50">
        <v>0</v>
      </c>
      <c r="P7" s="49">
        <v>1163800</v>
      </c>
      <c r="Q7" s="43" t="s">
        <v>19</v>
      </c>
    </row>
    <row r="8">
      <c r="A8" s="41"/>
      <c r="B8" s="44"/>
      <c r="C8" s="45"/>
      <c r="D8" s="43"/>
      <c r="E8" s="46"/>
      <c r="F8" s="47"/>
      <c r="G8" s="43"/>
      <c r="H8" s="43" t="s">
        <v>17</v>
      </c>
      <c r="I8" s="45"/>
      <c r="J8" s="49"/>
      <c r="K8" s="50"/>
      <c r="L8" s="50">
        <v>1163800</v>
      </c>
      <c r="M8" s="51"/>
      <c r="N8" s="49">
        <v>0</v>
      </c>
      <c r="O8" s="50"/>
      <c r="P8" s="49">
        <v>1163800</v>
      </c>
      <c r="Q8" s="43"/>
    </row>
    <row r="9">
      <c r="A9" s="41" t="s">
        <v>19</v>
      </c>
      <c r="B9" s="42" t="s">
        <v>26</v>
      </c>
      <c r="C9" s="45">
        <v>1</v>
      </c>
      <c r="D9" s="43" t="s">
        <v>21</v>
      </c>
      <c r="E9" s="46" t="s">
        <v>27</v>
      </c>
      <c r="F9" s="47">
        <v>46146</v>
      </c>
      <c r="G9" s="43" t="s">
        <v>19</v>
      </c>
      <c r="H9" s="43" t="s">
        <v>28</v>
      </c>
      <c r="I9" s="45" t="s">
        <v>24</v>
      </c>
      <c r="J9" s="49">
        <v>1</v>
      </c>
      <c r="K9" s="50">
        <v>2250000</v>
      </c>
      <c r="L9" s="50">
        <v>2250000</v>
      </c>
      <c r="M9" s="51" t="s">
        <v>25</v>
      </c>
      <c r="N9" s="49">
        <v>0</v>
      </c>
      <c r="O9" s="50">
        <v>0</v>
      </c>
      <c r="P9" s="49">
        <v>2250000</v>
      </c>
      <c r="Q9" s="43" t="s">
        <v>19</v>
      </c>
    </row>
    <row r="10">
      <c r="A10" s="41"/>
      <c r="B10" s="44"/>
      <c r="C10" s="45"/>
      <c r="D10" s="43"/>
      <c r="E10" s="46"/>
      <c r="F10" s="47"/>
      <c r="G10" s="43"/>
      <c r="H10" s="43" t="s">
        <v>17</v>
      </c>
      <c r="I10" s="45"/>
      <c r="J10" s="49"/>
      <c r="K10" s="50"/>
      <c r="L10" s="50">
        <v>2250000</v>
      </c>
      <c r="M10" s="51"/>
      <c r="N10" s="49">
        <v>0</v>
      </c>
      <c r="O10" s="50"/>
      <c r="P10" s="49">
        <v>2250000</v>
      </c>
      <c r="Q10" s="43"/>
    </row>
    <row r="11">
      <c r="A11" s="41" t="s">
        <v>19</v>
      </c>
      <c r="B11" s="42" t="s">
        <v>29</v>
      </c>
      <c r="C11" s="45">
        <v>1</v>
      </c>
      <c r="D11" s="43" t="s">
        <v>21</v>
      </c>
      <c r="E11" s="46" t="s">
        <v>30</v>
      </c>
      <c r="F11" s="47">
        <v>46146</v>
      </c>
      <c r="G11" s="43" t="s">
        <v>19</v>
      </c>
      <c r="H11" s="43" t="s">
        <v>31</v>
      </c>
      <c r="I11" s="45" t="s">
        <v>24</v>
      </c>
      <c r="J11" s="49">
        <v>1</v>
      </c>
      <c r="K11" s="50">
        <v>1000000</v>
      </c>
      <c r="L11" s="50">
        <v>1000000</v>
      </c>
      <c r="M11" s="51" t="s">
        <v>25</v>
      </c>
      <c r="N11" s="49">
        <v>0</v>
      </c>
      <c r="O11" s="50">
        <v>0</v>
      </c>
      <c r="P11" s="49">
        <v>1000000</v>
      </c>
      <c r="Q11" s="43" t="s">
        <v>19</v>
      </c>
    </row>
    <row r="12">
      <c r="A12" s="41"/>
      <c r="B12" s="44"/>
      <c r="C12" s="45"/>
      <c r="D12" s="43"/>
      <c r="E12" s="46"/>
      <c r="F12" s="47"/>
      <c r="G12" s="43"/>
      <c r="H12" s="43" t="s">
        <v>17</v>
      </c>
      <c r="I12" s="45"/>
      <c r="J12" s="49"/>
      <c r="K12" s="50"/>
      <c r="L12" s="50">
        <v>1000000</v>
      </c>
      <c r="M12" s="51"/>
      <c r="N12" s="49">
        <v>0</v>
      </c>
      <c r="O12" s="50"/>
      <c r="P12" s="49">
        <v>1000000</v>
      </c>
      <c r="Q12" s="43"/>
    </row>
    <row r="13">
      <c r="A13" s="41" t="s">
        <v>19</v>
      </c>
      <c r="B13" s="42" t="s">
        <v>32</v>
      </c>
      <c r="C13" s="45">
        <v>1</v>
      </c>
      <c r="D13" s="43" t="s">
        <v>21</v>
      </c>
      <c r="E13" s="46" t="s">
        <v>33</v>
      </c>
      <c r="F13" s="47">
        <v>46146</v>
      </c>
      <c r="G13" s="43" t="s">
        <v>19</v>
      </c>
      <c r="H13" s="43" t="s">
        <v>34</v>
      </c>
      <c r="I13" s="45" t="s">
        <v>35</v>
      </c>
      <c r="J13" s="49">
        <v>1</v>
      </c>
      <c r="K13" s="50">
        <v>500000</v>
      </c>
      <c r="L13" s="50">
        <v>500000</v>
      </c>
      <c r="M13" s="51" t="s">
        <v>25</v>
      </c>
      <c r="N13" s="49">
        <v>0</v>
      </c>
      <c r="O13" s="50">
        <v>0</v>
      </c>
      <c r="P13" s="49">
        <v>500000</v>
      </c>
      <c r="Q13" s="43" t="s">
        <v>19</v>
      </c>
    </row>
    <row r="14">
      <c r="A14" s="41"/>
      <c r="B14" s="44"/>
      <c r="C14" s="45"/>
      <c r="D14" s="43"/>
      <c r="E14" s="46"/>
      <c r="F14" s="47"/>
      <c r="G14" s="43"/>
      <c r="H14" s="43" t="s">
        <v>17</v>
      </c>
      <c r="I14" s="45"/>
      <c r="J14" s="49"/>
      <c r="K14" s="50"/>
      <c r="L14" s="50">
        <v>500000</v>
      </c>
      <c r="M14" s="51"/>
      <c r="N14" s="49">
        <v>0</v>
      </c>
      <c r="O14" s="50"/>
      <c r="P14" s="49">
        <v>500000</v>
      </c>
      <c r="Q14" s="43"/>
    </row>
    <row r="15">
      <c r="A15" s="41" t="s">
        <v>19</v>
      </c>
      <c r="B15" s="42" t="s">
        <v>32</v>
      </c>
      <c r="C15" s="45">
        <v>1</v>
      </c>
      <c r="D15" s="43" t="s">
        <v>21</v>
      </c>
      <c r="E15" s="46" t="s">
        <v>36</v>
      </c>
      <c r="F15" s="47">
        <v>46146</v>
      </c>
      <c r="G15" s="43" t="s">
        <v>19</v>
      </c>
      <c r="H15" s="43" t="s">
        <v>37</v>
      </c>
      <c r="I15" s="45" t="s">
        <v>35</v>
      </c>
      <c r="J15" s="49">
        <v>1</v>
      </c>
      <c r="K15" s="50">
        <v>1500000</v>
      </c>
      <c r="L15" s="50">
        <v>1500000</v>
      </c>
      <c r="M15" s="51" t="s">
        <v>25</v>
      </c>
      <c r="N15" s="49">
        <v>0</v>
      </c>
      <c r="O15" s="50">
        <v>0</v>
      </c>
      <c r="P15" s="49">
        <v>1500000</v>
      </c>
      <c r="Q15" s="43" t="s">
        <v>19</v>
      </c>
    </row>
    <row r="16">
      <c r="A16" s="41"/>
      <c r="B16" s="44"/>
      <c r="C16" s="45">
        <v>2</v>
      </c>
      <c r="D16" s="43" t="s">
        <v>21</v>
      </c>
      <c r="E16" s="46" t="s">
        <v>36</v>
      </c>
      <c r="F16" s="47">
        <v>46146</v>
      </c>
      <c r="G16" s="43" t="s">
        <v>19</v>
      </c>
      <c r="H16" s="43" t="s">
        <v>38</v>
      </c>
      <c r="I16" s="45" t="s">
        <v>35</v>
      </c>
      <c r="J16" s="49">
        <v>1</v>
      </c>
      <c r="K16" s="50">
        <v>6200000</v>
      </c>
      <c r="L16" s="50">
        <v>6200000</v>
      </c>
      <c r="M16" s="51" t="s">
        <v>25</v>
      </c>
      <c r="N16" s="49">
        <v>0</v>
      </c>
      <c r="O16" s="50">
        <v>0</v>
      </c>
      <c r="P16" s="49">
        <v>6200000</v>
      </c>
      <c r="Q16" s="43" t="s">
        <v>19</v>
      </c>
    </row>
    <row r="17">
      <c r="A17" s="41"/>
      <c r="B17" s="44"/>
      <c r="C17" s="45"/>
      <c r="D17" s="43"/>
      <c r="E17" s="46"/>
      <c r="F17" s="47"/>
      <c r="G17" s="43"/>
      <c r="H17" s="43" t="s">
        <v>17</v>
      </c>
      <c r="I17" s="45"/>
      <c r="J17" s="49"/>
      <c r="K17" s="50"/>
      <c r="L17" s="50">
        <v>7700000</v>
      </c>
      <c r="M17" s="51"/>
      <c r="N17" s="49">
        <v>0</v>
      </c>
      <c r="O17" s="50"/>
      <c r="P17" s="49">
        <v>7700000</v>
      </c>
      <c r="Q17" s="43"/>
    </row>
    <row r="18">
      <c r="A18" s="41" t="s">
        <v>19</v>
      </c>
      <c r="B18" s="42" t="s">
        <v>39</v>
      </c>
      <c r="C18" s="45">
        <v>1</v>
      </c>
      <c r="D18" s="43" t="s">
        <v>21</v>
      </c>
      <c r="E18" s="46" t="s">
        <v>40</v>
      </c>
      <c r="F18" s="47">
        <v>46147</v>
      </c>
      <c r="G18" s="43" t="s">
        <v>19</v>
      </c>
      <c r="H18" s="43" t="s">
        <v>41</v>
      </c>
      <c r="I18" s="45" t="s">
        <v>24</v>
      </c>
      <c r="J18" s="49">
        <v>3</v>
      </c>
      <c r="K18" s="50">
        <v>2300000</v>
      </c>
      <c r="L18" s="50">
        <v>6900000</v>
      </c>
      <c r="M18" s="51" t="s">
        <v>25</v>
      </c>
      <c r="N18" s="49">
        <v>0</v>
      </c>
      <c r="O18" s="50">
        <v>0</v>
      </c>
      <c r="P18" s="49">
        <v>6900000</v>
      </c>
      <c r="Q18" s="43" t="s">
        <v>19</v>
      </c>
    </row>
    <row r="19">
      <c r="A19" s="41"/>
      <c r="B19" s="44"/>
      <c r="C19" s="45"/>
      <c r="D19" s="43"/>
      <c r="E19" s="46"/>
      <c r="F19" s="47"/>
      <c r="G19" s="43"/>
      <c r="H19" s="43" t="s">
        <v>17</v>
      </c>
      <c r="I19" s="45"/>
      <c r="J19" s="49"/>
      <c r="K19" s="50"/>
      <c r="L19" s="50">
        <v>6900000</v>
      </c>
      <c r="M19" s="51"/>
      <c r="N19" s="49">
        <v>0</v>
      </c>
      <c r="O19" s="50"/>
      <c r="P19" s="49">
        <v>6900000</v>
      </c>
      <c r="Q19" s="43"/>
    </row>
    <row r="20">
      <c r="A20" s="41" t="s">
        <v>19</v>
      </c>
      <c r="B20" s="42" t="s">
        <v>42</v>
      </c>
      <c r="C20" s="45">
        <v>1</v>
      </c>
      <c r="D20" s="43" t="s">
        <v>21</v>
      </c>
      <c r="E20" s="46" t="s">
        <v>43</v>
      </c>
      <c r="F20" s="47">
        <v>46148</v>
      </c>
      <c r="G20" s="43" t="s">
        <v>19</v>
      </c>
      <c r="H20" s="43" t="s">
        <v>44</v>
      </c>
      <c r="I20" s="45" t="s">
        <v>35</v>
      </c>
      <c r="J20" s="49">
        <v>1</v>
      </c>
      <c r="K20" s="50">
        <v>300000</v>
      </c>
      <c r="L20" s="50">
        <v>300000</v>
      </c>
      <c r="M20" s="51" t="s">
        <v>25</v>
      </c>
      <c r="N20" s="49">
        <v>0</v>
      </c>
      <c r="O20" s="50">
        <v>0</v>
      </c>
      <c r="P20" s="49">
        <v>300000</v>
      </c>
      <c r="Q20" s="43" t="s">
        <v>19</v>
      </c>
    </row>
    <row r="21">
      <c r="A21" s="41"/>
      <c r="B21" s="44"/>
      <c r="C21" s="45"/>
      <c r="D21" s="43"/>
      <c r="E21" s="46"/>
      <c r="F21" s="47"/>
      <c r="G21" s="43"/>
      <c r="H21" s="43" t="s">
        <v>17</v>
      </c>
      <c r="I21" s="45"/>
      <c r="J21" s="49"/>
      <c r="K21" s="50"/>
      <c r="L21" s="50">
        <v>300000</v>
      </c>
      <c r="M21" s="51"/>
      <c r="N21" s="49">
        <v>0</v>
      </c>
      <c r="O21" s="50"/>
      <c r="P21" s="49">
        <v>300000</v>
      </c>
      <c r="Q21" s="43"/>
    </row>
    <row r="22">
      <c r="A22" s="41" t="s">
        <v>19</v>
      </c>
      <c r="B22" s="42" t="s">
        <v>45</v>
      </c>
      <c r="C22" s="45">
        <v>1</v>
      </c>
      <c r="D22" s="43" t="s">
        <v>21</v>
      </c>
      <c r="E22" s="46" t="s">
        <v>46</v>
      </c>
      <c r="F22" s="47">
        <v>46148</v>
      </c>
      <c r="G22" s="43" t="s">
        <v>19</v>
      </c>
      <c r="H22" s="43" t="s">
        <v>47</v>
      </c>
      <c r="I22" s="45" t="s">
        <v>35</v>
      </c>
      <c r="J22" s="49">
        <v>1</v>
      </c>
      <c r="K22" s="50">
        <v>800000</v>
      </c>
      <c r="L22" s="50">
        <v>800000</v>
      </c>
      <c r="M22" s="51" t="s">
        <v>25</v>
      </c>
      <c r="N22" s="49">
        <v>0</v>
      </c>
      <c r="O22" s="50">
        <v>0</v>
      </c>
      <c r="P22" s="49">
        <v>800000</v>
      </c>
      <c r="Q22" s="43" t="s">
        <v>19</v>
      </c>
    </row>
    <row r="23">
      <c r="A23" s="41"/>
      <c r="B23" s="44"/>
      <c r="C23" s="45"/>
      <c r="D23" s="43"/>
      <c r="E23" s="46"/>
      <c r="F23" s="47"/>
      <c r="G23" s="43"/>
      <c r="H23" s="43" t="s">
        <v>17</v>
      </c>
      <c r="I23" s="45"/>
      <c r="J23" s="49"/>
      <c r="K23" s="50"/>
      <c r="L23" s="50">
        <v>800000</v>
      </c>
      <c r="M23" s="51"/>
      <c r="N23" s="49">
        <v>0</v>
      </c>
      <c r="O23" s="50"/>
      <c r="P23" s="49">
        <v>800000</v>
      </c>
      <c r="Q23" s="43"/>
    </row>
    <row r="24">
      <c r="A24" s="41" t="s">
        <v>19</v>
      </c>
      <c r="B24" s="42" t="s">
        <v>48</v>
      </c>
      <c r="C24" s="45">
        <v>1</v>
      </c>
      <c r="D24" s="43" t="s">
        <v>21</v>
      </c>
      <c r="E24" s="46" t="s">
        <v>49</v>
      </c>
      <c r="F24" s="47">
        <v>46150</v>
      </c>
      <c r="G24" s="43" t="s">
        <v>19</v>
      </c>
      <c r="H24" s="43" t="s">
        <v>50</v>
      </c>
      <c r="I24" s="45" t="s">
        <v>51</v>
      </c>
      <c r="J24" s="49">
        <v>1</v>
      </c>
      <c r="K24" s="50">
        <v>23460000</v>
      </c>
      <c r="L24" s="50">
        <v>23460000</v>
      </c>
      <c r="M24" s="51" t="s">
        <v>25</v>
      </c>
      <c r="N24" s="49">
        <v>0</v>
      </c>
      <c r="O24" s="50">
        <v>0</v>
      </c>
      <c r="P24" s="49">
        <v>23460000</v>
      </c>
      <c r="Q24" s="43" t="s">
        <v>19</v>
      </c>
    </row>
    <row r="25">
      <c r="A25" s="41"/>
      <c r="B25" s="44"/>
      <c r="C25" s="45"/>
      <c r="D25" s="43"/>
      <c r="E25" s="46"/>
      <c r="F25" s="47"/>
      <c r="G25" s="43"/>
      <c r="H25" s="43" t="s">
        <v>17</v>
      </c>
      <c r="I25" s="45"/>
      <c r="J25" s="49"/>
      <c r="K25" s="50"/>
      <c r="L25" s="50">
        <v>23460000</v>
      </c>
      <c r="M25" s="51"/>
      <c r="N25" s="49">
        <v>0</v>
      </c>
      <c r="O25" s="50"/>
      <c r="P25" s="49">
        <v>23460000</v>
      </c>
      <c r="Q25" s="43"/>
    </row>
    <row r="26">
      <c r="A26" s="41" t="s">
        <v>19</v>
      </c>
      <c r="B26" s="42" t="s">
        <v>52</v>
      </c>
      <c r="C26" s="45">
        <v>1</v>
      </c>
      <c r="D26" s="43" t="s">
        <v>21</v>
      </c>
      <c r="E26" s="46" t="s">
        <v>53</v>
      </c>
      <c r="F26" s="47">
        <v>46150</v>
      </c>
      <c r="G26" s="43" t="s">
        <v>19</v>
      </c>
      <c r="H26" s="43" t="s">
        <v>54</v>
      </c>
      <c r="I26" s="45" t="s">
        <v>51</v>
      </c>
      <c r="J26" s="49">
        <v>1</v>
      </c>
      <c r="K26" s="50">
        <v>22950000</v>
      </c>
      <c r="L26" s="50">
        <v>22950000</v>
      </c>
      <c r="M26" s="51" t="s">
        <v>25</v>
      </c>
      <c r="N26" s="49">
        <v>0</v>
      </c>
      <c r="O26" s="50">
        <v>0</v>
      </c>
      <c r="P26" s="49">
        <v>22950000</v>
      </c>
      <c r="Q26" s="43" t="s">
        <v>19</v>
      </c>
    </row>
    <row r="27">
      <c r="A27" s="41"/>
      <c r="B27" s="44"/>
      <c r="C27" s="45"/>
      <c r="D27" s="43"/>
      <c r="E27" s="46"/>
      <c r="F27" s="47"/>
      <c r="G27" s="43"/>
      <c r="H27" s="43" t="s">
        <v>17</v>
      </c>
      <c r="I27" s="45"/>
      <c r="J27" s="49"/>
      <c r="K27" s="50"/>
      <c r="L27" s="50">
        <v>22950000</v>
      </c>
      <c r="M27" s="51"/>
      <c r="N27" s="49">
        <v>0</v>
      </c>
      <c r="O27" s="50"/>
      <c r="P27" s="49">
        <v>22950000</v>
      </c>
      <c r="Q27" s="43"/>
    </row>
    <row r="28">
      <c r="A28" s="41" t="s">
        <v>19</v>
      </c>
      <c r="B28" s="42" t="s">
        <v>55</v>
      </c>
      <c r="C28" s="45">
        <v>1</v>
      </c>
      <c r="D28" s="43" t="s">
        <v>21</v>
      </c>
      <c r="E28" s="46" t="s">
        <v>56</v>
      </c>
      <c r="F28" s="47">
        <v>46150</v>
      </c>
      <c r="G28" s="43" t="s">
        <v>19</v>
      </c>
      <c r="H28" s="43" t="s">
        <v>57</v>
      </c>
      <c r="I28" s="45" t="s">
        <v>51</v>
      </c>
      <c r="J28" s="49">
        <v>1</v>
      </c>
      <c r="K28" s="50">
        <v>23460000</v>
      </c>
      <c r="L28" s="50">
        <v>23460000</v>
      </c>
      <c r="M28" s="51" t="s">
        <v>25</v>
      </c>
      <c r="N28" s="49">
        <v>0</v>
      </c>
      <c r="O28" s="50">
        <v>0</v>
      </c>
      <c r="P28" s="49">
        <v>23460000</v>
      </c>
      <c r="Q28" s="43" t="s">
        <v>19</v>
      </c>
    </row>
    <row r="29">
      <c r="A29" s="41"/>
      <c r="B29" s="44"/>
      <c r="C29" s="45"/>
      <c r="D29" s="43"/>
      <c r="E29" s="46"/>
      <c r="F29" s="47"/>
      <c r="G29" s="43"/>
      <c r="H29" s="43" t="s">
        <v>17</v>
      </c>
      <c r="I29" s="45"/>
      <c r="J29" s="49"/>
      <c r="K29" s="50"/>
      <c r="L29" s="50">
        <v>23460000</v>
      </c>
      <c r="M29" s="51"/>
      <c r="N29" s="49">
        <v>0</v>
      </c>
      <c r="O29" s="50"/>
      <c r="P29" s="49">
        <v>23460000</v>
      </c>
      <c r="Q29" s="43"/>
    </row>
    <row r="30">
      <c r="A30" s="41" t="s">
        <v>19</v>
      </c>
      <c r="B30" s="42" t="s">
        <v>58</v>
      </c>
      <c r="C30" s="45">
        <v>1</v>
      </c>
      <c r="D30" s="43" t="s">
        <v>21</v>
      </c>
      <c r="E30" s="46" t="s">
        <v>59</v>
      </c>
      <c r="F30" s="47">
        <v>46150</v>
      </c>
      <c r="G30" s="43" t="s">
        <v>19</v>
      </c>
      <c r="H30" s="43" t="s">
        <v>60</v>
      </c>
      <c r="I30" s="45" t="s">
        <v>35</v>
      </c>
      <c r="J30" s="49">
        <v>1</v>
      </c>
      <c r="K30" s="50">
        <v>1000000</v>
      </c>
      <c r="L30" s="50">
        <v>1000000</v>
      </c>
      <c r="M30" s="51" t="s">
        <v>25</v>
      </c>
      <c r="N30" s="49">
        <v>0</v>
      </c>
      <c r="O30" s="50">
        <v>0</v>
      </c>
      <c r="P30" s="49">
        <v>1000000</v>
      </c>
      <c r="Q30" s="43" t="s">
        <v>19</v>
      </c>
    </row>
    <row r="31">
      <c r="A31" s="41"/>
      <c r="B31" s="44"/>
      <c r="C31" s="45">
        <v>2</v>
      </c>
      <c r="D31" s="43" t="s">
        <v>21</v>
      </c>
      <c r="E31" s="46" t="s">
        <v>59</v>
      </c>
      <c r="F31" s="47">
        <v>46150</v>
      </c>
      <c r="G31" s="43" t="s">
        <v>19</v>
      </c>
      <c r="H31" s="43" t="s">
        <v>61</v>
      </c>
      <c r="I31" s="45" t="s">
        <v>35</v>
      </c>
      <c r="J31" s="49">
        <v>1</v>
      </c>
      <c r="K31" s="50">
        <v>350000</v>
      </c>
      <c r="L31" s="50">
        <v>350000</v>
      </c>
      <c r="M31" s="51" t="s">
        <v>25</v>
      </c>
      <c r="N31" s="49">
        <v>0</v>
      </c>
      <c r="O31" s="50">
        <v>0</v>
      </c>
      <c r="P31" s="49">
        <v>350000</v>
      </c>
      <c r="Q31" s="43" t="s">
        <v>19</v>
      </c>
    </row>
    <row r="32">
      <c r="A32" s="41"/>
      <c r="B32" s="44"/>
      <c r="C32" s="45"/>
      <c r="D32" s="43"/>
      <c r="E32" s="46"/>
      <c r="F32" s="47"/>
      <c r="G32" s="43"/>
      <c r="H32" s="43" t="s">
        <v>17</v>
      </c>
      <c r="I32" s="45"/>
      <c r="J32" s="49"/>
      <c r="K32" s="50"/>
      <c r="L32" s="50">
        <v>1350000</v>
      </c>
      <c r="M32" s="51"/>
      <c r="N32" s="49">
        <v>0</v>
      </c>
      <c r="O32" s="50"/>
      <c r="P32" s="49">
        <v>1350000</v>
      </c>
      <c r="Q32" s="43"/>
    </row>
    <row r="33">
      <c r="A33" s="41" t="s">
        <v>19</v>
      </c>
      <c r="B33" s="42" t="s">
        <v>62</v>
      </c>
      <c r="C33" s="45">
        <v>1</v>
      </c>
      <c r="D33" s="43" t="s">
        <v>21</v>
      </c>
      <c r="E33" s="46" t="s">
        <v>63</v>
      </c>
      <c r="F33" s="47">
        <v>46150</v>
      </c>
      <c r="G33" s="43" t="s">
        <v>19</v>
      </c>
      <c r="H33" s="43" t="s">
        <v>64</v>
      </c>
      <c r="I33" s="45" t="s">
        <v>35</v>
      </c>
      <c r="J33" s="49">
        <v>1</v>
      </c>
      <c r="K33" s="50">
        <v>300000</v>
      </c>
      <c r="L33" s="50">
        <v>300000</v>
      </c>
      <c r="M33" s="51" t="s">
        <v>25</v>
      </c>
      <c r="N33" s="49">
        <v>0</v>
      </c>
      <c r="O33" s="50">
        <v>0</v>
      </c>
      <c r="P33" s="49">
        <v>300000</v>
      </c>
      <c r="Q33" s="43" t="s">
        <v>19</v>
      </c>
    </row>
    <row r="34">
      <c r="A34" s="41"/>
      <c r="B34" s="44"/>
      <c r="C34" s="45"/>
      <c r="D34" s="43"/>
      <c r="E34" s="46"/>
      <c r="F34" s="47"/>
      <c r="G34" s="43"/>
      <c r="H34" s="43" t="s">
        <v>17</v>
      </c>
      <c r="I34" s="45"/>
      <c r="J34" s="49"/>
      <c r="K34" s="50"/>
      <c r="L34" s="50">
        <v>300000</v>
      </c>
      <c r="M34" s="51"/>
      <c r="N34" s="49">
        <v>0</v>
      </c>
      <c r="O34" s="50"/>
      <c r="P34" s="49">
        <v>300000</v>
      </c>
      <c r="Q34" s="43"/>
    </row>
    <row r="35">
      <c r="A35" s="38"/>
      <c r="B35" s="39"/>
      <c r="C35" s="33"/>
      <c r="D35" s="40"/>
      <c r="E35" s="2"/>
      <c r="F35" s="48"/>
      <c r="G35" s="40"/>
      <c r="H35" s="40"/>
      <c r="I35" s="33"/>
      <c r="J35" s="52">
        <f>SUM(J7:J34)</f>
        <v>17</v>
      </c>
      <c r="K35" s="53"/>
      <c r="L35" s="53">
        <v>92133800</v>
      </c>
      <c r="M35" s="54"/>
      <c r="N35" s="52">
        <v>0</v>
      </c>
      <c r="O35" s="53"/>
      <c r="P35" s="52">
        <v>92133800</v>
      </c>
      <c r="Q35" s="40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30" customHeight="1">
      <c r="A41" s="55" t="s">
        <v>65</v>
      </c>
      <c r="B41" s="1"/>
      <c r="C41" s="1"/>
      <c r="D41" s="55" t="s">
        <v>66</v>
      </c>
      <c r="E41" s="1"/>
      <c r="F41" s="1"/>
      <c r="G41" s="1"/>
      <c r="H41" s="1"/>
      <c r="I41" s="1"/>
      <c r="J41" s="1"/>
      <c r="K41" s="1"/>
      <c r="L41" s="55" t="s">
        <v>67</v>
      </c>
      <c r="M41" s="1"/>
      <c r="N41" s="1"/>
      <c r="O41" s="1"/>
      <c r="P41" s="1"/>
      <c r="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56" t="s">
        <v>68</v>
      </c>
      <c r="B46" s="1"/>
      <c r="C46" s="1"/>
      <c r="D46" s="56" t="s">
        <v>69</v>
      </c>
      <c r="E46" s="1"/>
      <c r="F46" s="1"/>
      <c r="G46" s="1"/>
      <c r="H46" s="1"/>
      <c r="I46" s="1"/>
      <c r="J46" s="1"/>
      <c r="K46" s="1"/>
      <c r="L46" s="56" t="s">
        <v>70</v>
      </c>
      <c r="M46" s="1"/>
      <c r="N46" s="1"/>
      <c r="O46" s="1"/>
      <c r="P46" s="1"/>
      <c r="Q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A1:G1"/>
    <mergeCell ref="A3:O3"/>
    <mergeCell ref="A41:C41"/>
    <mergeCell ref="A46:C46"/>
    <mergeCell ref="D41:K41"/>
    <mergeCell ref="D46:K46"/>
    <mergeCell ref="L41:O41"/>
    <mergeCell ref="L46:O46"/>
  </mergeCells>
  <hyperlinks>
    <hyperlink ref="B7" location="#'ALL'!D9" tooltip="ALL"/>
    <hyperlink ref="B9" location="#'ALL'!D10" tooltip="ALL"/>
    <hyperlink ref="B11" location="#'ALL'!D11" tooltip="ALL"/>
    <hyperlink ref="B13" location="#'ALL'!D12" tooltip="ALL"/>
    <hyperlink ref="B15" location="#'ALL'!D13" tooltip="ALL"/>
    <hyperlink ref="B18" location="#'ALL'!D14" tooltip="ALL"/>
    <hyperlink ref="B20" location="#'ALL'!D15" tooltip="ALL"/>
    <hyperlink ref="B22" location="#'ALL'!D16" tooltip="ALL"/>
    <hyperlink ref="B24" location="#'ALL'!D17" tooltip="ALL"/>
    <hyperlink ref="B26" location="#'ALL'!D18" tooltip="ALL"/>
    <hyperlink ref="B28" location="#'ALL'!D19" tooltip="ALL"/>
    <hyperlink ref="B30" location="#'ALL'!D20" tooltip="ALL"/>
    <hyperlink ref="B33" location="#'ALL'!D21" tooltip="ALL"/>
  </hyperlinks>
  <headerFooter/>
</worksheet>
</file>